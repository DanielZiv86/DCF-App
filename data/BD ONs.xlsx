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.shortcut-targets-by-id\1ftoIZqhxjIK-zxyM2xIG9xFIX4GG9BvJ\DCF\Marketing\Instagram\Scripts Python\App DCF Dani\data\"/>
    </mc:Choice>
  </mc:AlternateContent>
  <xr:revisionPtr revIDLastSave="0" documentId="13_ncr:1_{B133C43A-5BF3-4ADD-B5B4-0F730261CF0E}" xr6:coauthVersionLast="47" xr6:coauthVersionMax="47" xr10:uidLastSave="{00000000-0000-0000-0000-000000000000}"/>
  <bookViews>
    <workbookView xWindow="-120" yWindow="-120" windowWidth="29040" windowHeight="15840" xr2:uid="{BB8ACD95-2FAD-499C-A444-8C523315DBC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1" l="1"/>
  <c r="E72" i="1"/>
  <c r="E73" i="1"/>
  <c r="E60" i="1"/>
  <c r="E61" i="1"/>
  <c r="E62" i="1"/>
  <c r="E63" i="1"/>
  <c r="E64" i="1"/>
  <c r="E51" i="1"/>
  <c r="E52" i="1"/>
  <c r="E53" i="1"/>
  <c r="E4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Q1" i="1"/>
  <c r="G19" i="1" s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3" i="1"/>
  <c r="E44" i="1"/>
  <c r="E45" i="1"/>
  <c r="E46" i="1"/>
  <c r="E47" i="1"/>
  <c r="E48" i="1"/>
  <c r="E49" i="1"/>
  <c r="E50" i="1"/>
  <c r="E54" i="1"/>
  <c r="E55" i="1"/>
  <c r="E56" i="1"/>
  <c r="E57" i="1"/>
  <c r="E58" i="1"/>
  <c r="E59" i="1"/>
  <c r="E65" i="1"/>
  <c r="E66" i="1"/>
  <c r="E67" i="1"/>
  <c r="E68" i="1"/>
  <c r="E69" i="1"/>
  <c r="E70" i="1"/>
  <c r="E74" i="1"/>
  <c r="E75" i="1"/>
  <c r="E76" i="1"/>
  <c r="E77" i="1"/>
  <c r="E78" i="1"/>
  <c r="E79" i="1"/>
  <c r="E80" i="1"/>
  <c r="E81" i="1"/>
  <c r="E82" i="1"/>
  <c r="E83" i="1"/>
  <c r="E19" i="1"/>
  <c r="G73" i="1" l="1"/>
  <c r="G72" i="1"/>
  <c r="G71" i="1"/>
  <c r="G62" i="1"/>
  <c r="G61" i="1"/>
  <c r="G63" i="1"/>
  <c r="G64" i="1"/>
  <c r="G60" i="1"/>
  <c r="G53" i="1"/>
  <c r="G52" i="1"/>
  <c r="G51" i="1"/>
  <c r="G42" i="1"/>
  <c r="G15" i="1"/>
  <c r="G7" i="1"/>
  <c r="G17" i="1"/>
  <c r="G13" i="1"/>
  <c r="G9" i="1"/>
  <c r="G5" i="1"/>
  <c r="G16" i="1"/>
  <c r="G12" i="1"/>
  <c r="G8" i="1"/>
  <c r="G4" i="1"/>
  <c r="G3" i="1"/>
  <c r="G11" i="1"/>
  <c r="G18" i="1"/>
  <c r="G14" i="1"/>
  <c r="G10" i="1"/>
  <c r="G6" i="1"/>
  <c r="G2" i="1"/>
  <c r="G27" i="1"/>
  <c r="G83" i="1"/>
  <c r="G79" i="1"/>
  <c r="G75" i="1"/>
  <c r="G68" i="1"/>
  <c r="G59" i="1"/>
  <c r="G55" i="1"/>
  <c r="G48" i="1"/>
  <c r="G44" i="1"/>
  <c r="G39" i="1"/>
  <c r="G35" i="1"/>
  <c r="G31" i="1"/>
  <c r="G23" i="1"/>
  <c r="G82" i="1"/>
  <c r="G78" i="1"/>
  <c r="G74" i="1"/>
  <c r="G67" i="1"/>
  <c r="G58" i="1"/>
  <c r="G54" i="1"/>
  <c r="G47" i="1"/>
  <c r="G43" i="1"/>
  <c r="G38" i="1"/>
  <c r="G34" i="1"/>
  <c r="G30" i="1"/>
  <c r="G26" i="1"/>
  <c r="G22" i="1"/>
  <c r="G81" i="1"/>
  <c r="G77" i="1"/>
  <c r="G70" i="1"/>
  <c r="G66" i="1"/>
  <c r="G57" i="1"/>
  <c r="G50" i="1"/>
  <c r="G46" i="1"/>
  <c r="G41" i="1"/>
  <c r="G37" i="1"/>
  <c r="G33" i="1"/>
  <c r="G29" i="1"/>
  <c r="G25" i="1"/>
  <c r="G21" i="1"/>
  <c r="G80" i="1"/>
  <c r="G76" i="1"/>
  <c r="G69" i="1"/>
  <c r="G65" i="1"/>
  <c r="G56" i="1"/>
  <c r="G49" i="1"/>
  <c r="G45" i="1"/>
  <c r="G40" i="1"/>
  <c r="G36" i="1"/>
  <c r="G32" i="1"/>
  <c r="G28" i="1"/>
  <c r="G24" i="1"/>
  <c r="G20" i="1"/>
</calcChain>
</file>

<file path=xl/sharedStrings.xml><?xml version="1.0" encoding="utf-8"?>
<sst xmlns="http://schemas.openxmlformats.org/spreadsheetml/2006/main" count="173" uniqueCount="15">
  <si>
    <t>ARC1O</t>
  </si>
  <si>
    <t>ticker</t>
  </si>
  <si>
    <t>date</t>
  </si>
  <si>
    <t>cf</t>
  </si>
  <si>
    <t>BACGO</t>
  </si>
  <si>
    <t>BYCHO</t>
  </si>
  <si>
    <t>CAC5O</t>
  </si>
  <si>
    <t>Tasa de Cupon</t>
  </si>
  <si>
    <t>DNC7O</t>
  </si>
  <si>
    <t>Int.</t>
  </si>
  <si>
    <t>Dias</t>
  </si>
  <si>
    <t>Principal</t>
  </si>
  <si>
    <t>legislacion</t>
  </si>
  <si>
    <t>lamina_minima</t>
  </si>
  <si>
    <t>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</si>
</sst>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rgb="FFFF0000"/>
      <name val="Trebuchet MS"/>
      <family val="2"/>
    </font>
    <font>
      <sz val="8"/>
      <color theme="1"/>
      <name val="Trebuchet MS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dotted">
        <color rgb="FF000000"/>
      </top>
      <bottom style="dotted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dotted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/>
      <bottom style="dotted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15" fontId="2" fillId="0" borderId="2" xfId="0" applyNumberFormat="1" applyFont="1" applyBorder="1" applyAlignment="1">
      <alignment horizontal="center" wrapText="1"/>
    </xf>
    <xf numFmtId="15" fontId="2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10" fontId="0" fillId="0" borderId="0" xfId="0" applyNumberFormat="1"/>
    <xf numFmtId="9" fontId="0" fillId="0" borderId="0" xfId="0" applyNumberFormat="1"/>
    <xf numFmtId="0" fontId="4" fillId="0" borderId="1" xfId="0" applyFont="1" applyBorder="1" applyAlignment="1">
      <alignment wrapText="1"/>
    </xf>
    <xf numFmtId="0" fontId="3" fillId="0" borderId="4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999CC-3586-44AD-A24E-E30070673374}">
  <dimension ref="A1:Q83"/>
  <sheetViews>
    <sheetView tabSelected="1" zoomScale="115" zoomScaleNormal="115" workbookViewId="0">
      <selection activeCell="K75" sqref="K75"/>
    </sheetView>
  </sheetViews>
  <sheetFormatPr baseColWidth="10" defaultRowHeight="15" x14ac:dyDescent="0.25"/>
  <cols>
    <col min="9" max="9" width="16.42578125" customWidth="1"/>
  </cols>
  <sheetData>
    <row r="1" spans="1:17" ht="30.75" thickBot="1" x14ac:dyDescent="0.3">
      <c r="A1" s="3" t="s">
        <v>1</v>
      </c>
      <c r="B1" s="3" t="s">
        <v>2</v>
      </c>
      <c r="C1" s="3" t="s">
        <v>11</v>
      </c>
      <c r="D1" s="3" t="s">
        <v>9</v>
      </c>
      <c r="E1" s="3" t="s">
        <v>3</v>
      </c>
      <c r="F1" s="3" t="s">
        <v>7</v>
      </c>
      <c r="G1" s="3" t="s">
        <v>10</v>
      </c>
      <c r="H1" s="3" t="s">
        <v>12</v>
      </c>
      <c r="I1" s="3" t="s">
        <v>13</v>
      </c>
      <c r="Q1" s="5">
        <f ca="1">+TODAY()</f>
        <v>46005</v>
      </c>
    </row>
    <row r="2" spans="1:17" ht="16.5" thickBot="1" x14ac:dyDescent="0.35">
      <c r="A2" t="s">
        <v>0</v>
      </c>
      <c r="B2" s="1">
        <v>44497</v>
      </c>
      <c r="C2" s="12">
        <v>0</v>
      </c>
      <c r="D2" s="12"/>
      <c r="E2" s="7">
        <f t="shared" ref="E2:E18" si="0">C2+D2</f>
        <v>0</v>
      </c>
      <c r="F2" s="10"/>
      <c r="G2">
        <f t="shared" ref="G2:G18" ca="1" si="1">B2-$Q$1</f>
        <v>-1508</v>
      </c>
      <c r="H2" t="s">
        <v>14</v>
      </c>
      <c r="I2">
        <v>1000</v>
      </c>
    </row>
    <row r="3" spans="1:17" ht="16.5" thickBot="1" x14ac:dyDescent="0.35">
      <c r="A3" t="s">
        <v>0</v>
      </c>
      <c r="B3" s="1">
        <v>44593</v>
      </c>
      <c r="C3">
        <v>0</v>
      </c>
      <c r="D3" s="8">
        <v>2.2000000000000002</v>
      </c>
      <c r="E3" s="7">
        <f t="shared" si="0"/>
        <v>2.2000000000000002</v>
      </c>
      <c r="F3" s="10">
        <v>8.5000000000000006E-2</v>
      </c>
      <c r="G3">
        <f t="shared" ca="1" si="1"/>
        <v>-1412</v>
      </c>
      <c r="H3" t="s">
        <v>14</v>
      </c>
      <c r="I3">
        <v>1000</v>
      </c>
    </row>
    <row r="4" spans="1:17" ht="16.5" thickBot="1" x14ac:dyDescent="0.35">
      <c r="A4" t="s">
        <v>0</v>
      </c>
      <c r="B4" s="1">
        <v>44682</v>
      </c>
      <c r="C4">
        <v>0</v>
      </c>
      <c r="D4" s="8">
        <v>2.13</v>
      </c>
      <c r="E4" s="7">
        <f t="shared" si="0"/>
        <v>2.13</v>
      </c>
      <c r="F4" s="10">
        <v>8.5000000000000006E-2</v>
      </c>
      <c r="G4">
        <f t="shared" ca="1" si="1"/>
        <v>-1323</v>
      </c>
      <c r="H4" t="s">
        <v>14</v>
      </c>
      <c r="I4">
        <v>1000</v>
      </c>
    </row>
    <row r="5" spans="1:17" ht="16.5" thickBot="1" x14ac:dyDescent="0.35">
      <c r="A5" t="s">
        <v>0</v>
      </c>
      <c r="B5" s="1">
        <v>44774</v>
      </c>
      <c r="C5">
        <v>0</v>
      </c>
      <c r="D5" s="8">
        <v>2.13</v>
      </c>
      <c r="E5" s="7">
        <f t="shared" si="0"/>
        <v>2.13</v>
      </c>
      <c r="F5" s="10">
        <v>8.5000000000000006E-2</v>
      </c>
      <c r="G5">
        <f t="shared" ca="1" si="1"/>
        <v>-1231</v>
      </c>
      <c r="H5" t="s">
        <v>14</v>
      </c>
      <c r="I5">
        <v>1000</v>
      </c>
      <c r="K5" s="3"/>
      <c r="L5" s="3"/>
      <c r="M5" s="3"/>
    </row>
    <row r="6" spans="1:17" ht="16.5" thickBot="1" x14ac:dyDescent="0.35">
      <c r="A6" t="s">
        <v>0</v>
      </c>
      <c r="B6" s="1">
        <v>44866</v>
      </c>
      <c r="C6">
        <v>0</v>
      </c>
      <c r="D6" s="8">
        <v>2.13</v>
      </c>
      <c r="E6" s="7">
        <f t="shared" si="0"/>
        <v>2.13</v>
      </c>
      <c r="F6" s="10">
        <v>8.5000000000000006E-2</v>
      </c>
      <c r="G6">
        <f t="shared" ca="1" si="1"/>
        <v>-1139</v>
      </c>
      <c r="H6" t="s">
        <v>14</v>
      </c>
      <c r="I6">
        <v>1000</v>
      </c>
      <c r="K6" s="4"/>
      <c r="L6" s="6"/>
      <c r="M6" s="4"/>
    </row>
    <row r="7" spans="1:17" ht="16.5" thickBot="1" x14ac:dyDescent="0.35">
      <c r="A7" t="s">
        <v>0</v>
      </c>
      <c r="B7" s="1">
        <v>44958</v>
      </c>
      <c r="C7">
        <v>0</v>
      </c>
      <c r="D7" s="8">
        <v>2.13</v>
      </c>
      <c r="E7" s="7">
        <f t="shared" si="0"/>
        <v>2.13</v>
      </c>
      <c r="F7" s="10">
        <v>8.5000000000000006E-2</v>
      </c>
      <c r="G7">
        <f t="shared" ca="1" si="1"/>
        <v>-1047</v>
      </c>
      <c r="H7" t="s">
        <v>14</v>
      </c>
      <c r="I7">
        <v>1000</v>
      </c>
      <c r="K7" s="4"/>
      <c r="L7" s="6"/>
      <c r="M7" s="4"/>
    </row>
    <row r="8" spans="1:17" ht="16.5" thickBot="1" x14ac:dyDescent="0.35">
      <c r="A8" t="s">
        <v>0</v>
      </c>
      <c r="B8" s="1">
        <v>45047</v>
      </c>
      <c r="C8">
        <v>0</v>
      </c>
      <c r="D8" s="8">
        <v>2.13</v>
      </c>
      <c r="E8" s="7">
        <f t="shared" si="0"/>
        <v>2.13</v>
      </c>
      <c r="F8" s="10">
        <v>8.5000000000000006E-2</v>
      </c>
      <c r="G8">
        <f t="shared" ca="1" si="1"/>
        <v>-958</v>
      </c>
      <c r="H8" t="s">
        <v>14</v>
      </c>
      <c r="I8">
        <v>1000</v>
      </c>
      <c r="K8" s="4"/>
      <c r="L8" s="6"/>
      <c r="M8" s="4"/>
    </row>
    <row r="9" spans="1:17" ht="16.5" thickBot="1" x14ac:dyDescent="0.35">
      <c r="A9" t="s">
        <v>0</v>
      </c>
      <c r="B9" s="1">
        <v>45139</v>
      </c>
      <c r="C9">
        <v>0</v>
      </c>
      <c r="D9" s="8">
        <v>2.13</v>
      </c>
      <c r="E9" s="7">
        <f t="shared" si="0"/>
        <v>2.13</v>
      </c>
      <c r="F9" s="10">
        <v>8.5000000000000006E-2</v>
      </c>
      <c r="G9">
        <f t="shared" ca="1" si="1"/>
        <v>-866</v>
      </c>
      <c r="H9" t="s">
        <v>14</v>
      </c>
      <c r="I9">
        <v>1000</v>
      </c>
      <c r="K9" s="4"/>
      <c r="L9" s="6"/>
      <c r="M9" s="4"/>
    </row>
    <row r="10" spans="1:17" ht="16.5" thickBot="1" x14ac:dyDescent="0.35">
      <c r="A10" t="s">
        <v>0</v>
      </c>
      <c r="B10" s="1">
        <v>45231</v>
      </c>
      <c r="C10">
        <v>0</v>
      </c>
      <c r="D10" s="8">
        <v>2.13</v>
      </c>
      <c r="E10" s="7">
        <f t="shared" si="0"/>
        <v>2.13</v>
      </c>
      <c r="F10" s="10">
        <v>8.5000000000000006E-2</v>
      </c>
      <c r="G10">
        <f t="shared" ca="1" si="1"/>
        <v>-774</v>
      </c>
      <c r="H10" t="s">
        <v>14</v>
      </c>
      <c r="I10">
        <v>1000</v>
      </c>
      <c r="K10" s="4"/>
      <c r="L10" s="6"/>
      <c r="M10" s="4"/>
    </row>
    <row r="11" spans="1:17" ht="16.5" thickBot="1" x14ac:dyDescent="0.35">
      <c r="A11" t="s">
        <v>0</v>
      </c>
      <c r="B11" s="1">
        <v>45323</v>
      </c>
      <c r="C11">
        <v>0</v>
      </c>
      <c r="D11" s="8">
        <v>2.13</v>
      </c>
      <c r="E11" s="7">
        <f t="shared" si="0"/>
        <v>2.13</v>
      </c>
      <c r="F11" s="10">
        <v>8.5000000000000006E-2</v>
      </c>
      <c r="G11">
        <f t="shared" ca="1" si="1"/>
        <v>-682</v>
      </c>
      <c r="H11" t="s">
        <v>14</v>
      </c>
      <c r="I11">
        <v>1000</v>
      </c>
    </row>
    <row r="12" spans="1:17" ht="16.5" thickBot="1" x14ac:dyDescent="0.35">
      <c r="A12" t="s">
        <v>0</v>
      </c>
      <c r="B12" s="1">
        <v>45413</v>
      </c>
      <c r="C12">
        <v>0</v>
      </c>
      <c r="D12" s="8">
        <v>2.13</v>
      </c>
      <c r="E12" s="7">
        <f t="shared" si="0"/>
        <v>2.13</v>
      </c>
      <c r="F12" s="10">
        <v>8.5000000000000006E-2</v>
      </c>
      <c r="G12">
        <f t="shared" ca="1" si="1"/>
        <v>-592</v>
      </c>
      <c r="H12" t="s">
        <v>14</v>
      </c>
      <c r="I12">
        <v>1000</v>
      </c>
    </row>
    <row r="13" spans="1:17" ht="16.5" thickBot="1" x14ac:dyDescent="0.35">
      <c r="A13" t="s">
        <v>0</v>
      </c>
      <c r="B13" s="1">
        <v>45505</v>
      </c>
      <c r="C13">
        <v>0</v>
      </c>
      <c r="D13" s="8">
        <v>2.13</v>
      </c>
      <c r="E13" s="7">
        <f t="shared" si="0"/>
        <v>2.13</v>
      </c>
      <c r="F13" s="10">
        <v>8.5000000000000006E-2</v>
      </c>
      <c r="G13">
        <f t="shared" ca="1" si="1"/>
        <v>-500</v>
      </c>
      <c r="H13" t="s">
        <v>14</v>
      </c>
      <c r="I13">
        <v>1000</v>
      </c>
    </row>
    <row r="14" spans="1:17" ht="16.5" thickBot="1" x14ac:dyDescent="0.35">
      <c r="A14" t="s">
        <v>0</v>
      </c>
      <c r="B14" s="1">
        <v>45597</v>
      </c>
      <c r="C14">
        <v>0</v>
      </c>
      <c r="D14" s="8">
        <v>2.13</v>
      </c>
      <c r="E14" s="7">
        <f t="shared" si="0"/>
        <v>2.13</v>
      </c>
      <c r="F14" s="10">
        <v>8.5000000000000006E-2</v>
      </c>
      <c r="G14">
        <f t="shared" ca="1" si="1"/>
        <v>-408</v>
      </c>
      <c r="H14" t="s">
        <v>14</v>
      </c>
      <c r="I14">
        <v>1000</v>
      </c>
    </row>
    <row r="15" spans="1:17" ht="16.5" thickBot="1" x14ac:dyDescent="0.35">
      <c r="A15" t="s">
        <v>0</v>
      </c>
      <c r="B15" s="1">
        <v>45689</v>
      </c>
      <c r="C15">
        <v>0</v>
      </c>
      <c r="D15" s="8">
        <v>2.13</v>
      </c>
      <c r="E15" s="7">
        <f t="shared" si="0"/>
        <v>2.13</v>
      </c>
      <c r="F15" s="10">
        <v>8.5000000000000006E-2</v>
      </c>
      <c r="G15">
        <f t="shared" ca="1" si="1"/>
        <v>-316</v>
      </c>
      <c r="H15" t="s">
        <v>14</v>
      </c>
      <c r="I15">
        <v>1000</v>
      </c>
    </row>
    <row r="16" spans="1:17" ht="16.5" thickBot="1" x14ac:dyDescent="0.35">
      <c r="A16" t="s">
        <v>0</v>
      </c>
      <c r="B16" s="1">
        <v>45778</v>
      </c>
      <c r="C16">
        <v>0</v>
      </c>
      <c r="D16" s="8">
        <v>2.13</v>
      </c>
      <c r="E16" s="7">
        <f t="shared" si="0"/>
        <v>2.13</v>
      </c>
      <c r="F16" s="10">
        <v>8.5000000000000006E-2</v>
      </c>
      <c r="G16">
        <f t="shared" ca="1" si="1"/>
        <v>-227</v>
      </c>
      <c r="H16" t="s">
        <v>14</v>
      </c>
      <c r="I16">
        <v>1000</v>
      </c>
    </row>
    <row r="17" spans="1:9" ht="16.5" thickBot="1" x14ac:dyDescent="0.35">
      <c r="A17" t="s">
        <v>0</v>
      </c>
      <c r="B17" s="1">
        <v>45870</v>
      </c>
      <c r="C17">
        <v>0</v>
      </c>
      <c r="D17" s="8">
        <v>2.13</v>
      </c>
      <c r="E17" s="7">
        <f t="shared" si="0"/>
        <v>2.13</v>
      </c>
      <c r="F17" s="10">
        <v>8.5000000000000006E-2</v>
      </c>
      <c r="G17">
        <f t="shared" ca="1" si="1"/>
        <v>-135</v>
      </c>
      <c r="H17" t="s">
        <v>14</v>
      </c>
      <c r="I17">
        <v>1000</v>
      </c>
    </row>
    <row r="18" spans="1:9" ht="15.75" x14ac:dyDescent="0.3">
      <c r="A18" t="s">
        <v>0</v>
      </c>
      <c r="B18" s="1">
        <v>45962</v>
      </c>
      <c r="C18">
        <v>0</v>
      </c>
      <c r="D18" s="8">
        <v>2.13</v>
      </c>
      <c r="E18" s="7">
        <f t="shared" si="0"/>
        <v>2.13</v>
      </c>
      <c r="F18" s="10">
        <v>8.5000000000000006E-2</v>
      </c>
      <c r="G18">
        <f t="shared" ca="1" si="1"/>
        <v>-43</v>
      </c>
      <c r="H18" t="s">
        <v>14</v>
      </c>
      <c r="I18">
        <v>1000</v>
      </c>
    </row>
    <row r="19" spans="1:9" ht="16.5" thickBot="1" x14ac:dyDescent="0.35">
      <c r="A19" t="s">
        <v>0</v>
      </c>
      <c r="B19" s="2">
        <v>46054</v>
      </c>
      <c r="C19" s="7">
        <v>1.53</v>
      </c>
      <c r="D19" s="7">
        <v>2.13</v>
      </c>
      <c r="E19" s="7">
        <f t="shared" ref="E19:E42" si="2">C19+D19</f>
        <v>3.66</v>
      </c>
      <c r="F19" s="10">
        <v>8.5000000000000006E-2</v>
      </c>
      <c r="G19">
        <f t="shared" ref="G19:G41" ca="1" si="3">B19-$Q$1</f>
        <v>49</v>
      </c>
      <c r="H19" t="s">
        <v>14</v>
      </c>
      <c r="I19">
        <v>1000</v>
      </c>
    </row>
    <row r="20" spans="1:9" ht="16.5" thickBot="1" x14ac:dyDescent="0.35">
      <c r="A20" t="s">
        <v>0</v>
      </c>
      <c r="B20" s="1">
        <v>46143</v>
      </c>
      <c r="C20" s="8">
        <v>0</v>
      </c>
      <c r="D20" s="8">
        <v>2.09</v>
      </c>
      <c r="E20" s="7">
        <f t="shared" si="2"/>
        <v>2.09</v>
      </c>
      <c r="F20" s="10">
        <v>8.5000000000000006E-2</v>
      </c>
      <c r="G20">
        <f t="shared" ca="1" si="3"/>
        <v>138</v>
      </c>
      <c r="H20" t="s">
        <v>14</v>
      </c>
      <c r="I20">
        <v>1000</v>
      </c>
    </row>
    <row r="21" spans="1:9" ht="16.5" thickBot="1" x14ac:dyDescent="0.35">
      <c r="A21" t="s">
        <v>0</v>
      </c>
      <c r="B21" s="1">
        <v>46235</v>
      </c>
      <c r="C21" s="8">
        <v>0.89</v>
      </c>
      <c r="D21" s="8">
        <v>2.09</v>
      </c>
      <c r="E21" s="7">
        <f t="shared" si="2"/>
        <v>2.98</v>
      </c>
      <c r="F21" s="10">
        <v>8.5000000000000006E-2</v>
      </c>
      <c r="G21">
        <f t="shared" ca="1" si="3"/>
        <v>230</v>
      </c>
      <c r="H21" t="s">
        <v>14</v>
      </c>
      <c r="I21">
        <v>1000</v>
      </c>
    </row>
    <row r="22" spans="1:9" ht="16.5" thickBot="1" x14ac:dyDescent="0.35">
      <c r="A22" t="s">
        <v>0</v>
      </c>
      <c r="B22" s="1">
        <v>46327</v>
      </c>
      <c r="C22" s="8">
        <v>0</v>
      </c>
      <c r="D22" s="8">
        <v>2.0699999999999998</v>
      </c>
      <c r="E22" s="7">
        <f t="shared" si="2"/>
        <v>2.0699999999999998</v>
      </c>
      <c r="F22" s="10">
        <v>8.5000000000000006E-2</v>
      </c>
      <c r="G22">
        <f t="shared" ca="1" si="3"/>
        <v>322</v>
      </c>
      <c r="H22" t="s">
        <v>14</v>
      </c>
      <c r="I22">
        <v>1000</v>
      </c>
    </row>
    <row r="23" spans="1:9" ht="16.5" thickBot="1" x14ac:dyDescent="0.35">
      <c r="A23" t="s">
        <v>0</v>
      </c>
      <c r="B23" s="1">
        <v>46419</v>
      </c>
      <c r="C23" s="8">
        <v>4.78</v>
      </c>
      <c r="D23" s="8">
        <v>2.0699999999999998</v>
      </c>
      <c r="E23" s="7">
        <f t="shared" si="2"/>
        <v>6.85</v>
      </c>
      <c r="F23" s="10">
        <v>8.5000000000000006E-2</v>
      </c>
      <c r="G23">
        <f t="shared" ca="1" si="3"/>
        <v>414</v>
      </c>
      <c r="H23" t="s">
        <v>14</v>
      </c>
      <c r="I23">
        <v>1000</v>
      </c>
    </row>
    <row r="24" spans="1:9" ht="16.5" thickBot="1" x14ac:dyDescent="0.35">
      <c r="A24" t="s">
        <v>0</v>
      </c>
      <c r="B24" s="1">
        <v>46508</v>
      </c>
      <c r="C24" s="8">
        <v>2.73</v>
      </c>
      <c r="D24" s="8">
        <v>1.97</v>
      </c>
      <c r="E24" s="7">
        <f t="shared" si="2"/>
        <v>4.7</v>
      </c>
      <c r="F24" s="10">
        <v>8.5000000000000006E-2</v>
      </c>
      <c r="G24">
        <f t="shared" ca="1" si="3"/>
        <v>503</v>
      </c>
      <c r="H24" t="s">
        <v>14</v>
      </c>
      <c r="I24">
        <v>1000</v>
      </c>
    </row>
    <row r="25" spans="1:9" ht="16.5" thickBot="1" x14ac:dyDescent="0.35">
      <c r="A25" t="s">
        <v>0</v>
      </c>
      <c r="B25" s="1">
        <v>46600</v>
      </c>
      <c r="C25" s="8">
        <v>4.2300000000000004</v>
      </c>
      <c r="D25" s="8">
        <v>1.91</v>
      </c>
      <c r="E25" s="7">
        <f t="shared" si="2"/>
        <v>6.1400000000000006</v>
      </c>
      <c r="F25" s="10">
        <v>8.5000000000000006E-2</v>
      </c>
      <c r="G25">
        <f t="shared" ca="1" si="3"/>
        <v>595</v>
      </c>
      <c r="H25" t="s">
        <v>14</v>
      </c>
      <c r="I25">
        <v>1000</v>
      </c>
    </row>
    <row r="26" spans="1:9" ht="16.5" thickBot="1" x14ac:dyDescent="0.35">
      <c r="A26" t="s">
        <v>0</v>
      </c>
      <c r="B26" s="1">
        <v>46692</v>
      </c>
      <c r="C26" s="8">
        <v>3.29</v>
      </c>
      <c r="D26" s="8">
        <v>1.82</v>
      </c>
      <c r="E26" s="7">
        <f t="shared" si="2"/>
        <v>5.1100000000000003</v>
      </c>
      <c r="F26" s="10">
        <v>8.5000000000000006E-2</v>
      </c>
      <c r="G26">
        <f t="shared" ca="1" si="3"/>
        <v>687</v>
      </c>
      <c r="H26" t="s">
        <v>14</v>
      </c>
      <c r="I26">
        <v>1000</v>
      </c>
    </row>
    <row r="27" spans="1:9" ht="16.5" thickBot="1" x14ac:dyDescent="0.35">
      <c r="A27" t="s">
        <v>0</v>
      </c>
      <c r="B27" s="1">
        <v>46784</v>
      </c>
      <c r="C27" s="8">
        <v>5.64</v>
      </c>
      <c r="D27" s="8">
        <v>1.75</v>
      </c>
      <c r="E27" s="7">
        <f t="shared" si="2"/>
        <v>7.39</v>
      </c>
      <c r="F27" s="10">
        <v>8.5000000000000006E-2</v>
      </c>
      <c r="G27">
        <f t="shared" ca="1" si="3"/>
        <v>779</v>
      </c>
      <c r="H27" t="s">
        <v>14</v>
      </c>
      <c r="I27">
        <v>1000</v>
      </c>
    </row>
    <row r="28" spans="1:9" ht="16.5" thickBot="1" x14ac:dyDescent="0.35">
      <c r="A28" t="s">
        <v>0</v>
      </c>
      <c r="B28" s="1">
        <v>46874</v>
      </c>
      <c r="C28" s="8">
        <v>3.49</v>
      </c>
      <c r="D28" s="8">
        <v>1.63</v>
      </c>
      <c r="E28" s="7">
        <f t="shared" si="2"/>
        <v>5.12</v>
      </c>
      <c r="F28" s="10">
        <v>8.5000000000000006E-2</v>
      </c>
      <c r="G28">
        <f t="shared" ca="1" si="3"/>
        <v>869</v>
      </c>
      <c r="H28" t="s">
        <v>14</v>
      </c>
      <c r="I28">
        <v>1000</v>
      </c>
    </row>
    <row r="29" spans="1:9" ht="16.5" thickBot="1" x14ac:dyDescent="0.35">
      <c r="A29" t="s">
        <v>0</v>
      </c>
      <c r="B29" s="1">
        <v>46966</v>
      </c>
      <c r="C29" s="8">
        <v>0</v>
      </c>
      <c r="D29" s="8">
        <v>1.56</v>
      </c>
      <c r="E29" s="7">
        <f t="shared" si="2"/>
        <v>1.56</v>
      </c>
      <c r="F29" s="10">
        <v>8.5000000000000006E-2</v>
      </c>
      <c r="G29">
        <f t="shared" ca="1" si="3"/>
        <v>961</v>
      </c>
      <c r="H29" t="s">
        <v>14</v>
      </c>
      <c r="I29">
        <v>1000</v>
      </c>
    </row>
    <row r="30" spans="1:9" ht="16.5" thickBot="1" x14ac:dyDescent="0.35">
      <c r="A30" t="s">
        <v>0</v>
      </c>
      <c r="B30" s="1">
        <v>47058</v>
      </c>
      <c r="C30" s="8">
        <v>5.0599999999999996</v>
      </c>
      <c r="D30" s="8">
        <v>1.56</v>
      </c>
      <c r="E30" s="7">
        <f t="shared" si="2"/>
        <v>6.6199999999999992</v>
      </c>
      <c r="F30" s="10">
        <v>8.5000000000000006E-2</v>
      </c>
      <c r="G30">
        <f t="shared" ca="1" si="3"/>
        <v>1053</v>
      </c>
      <c r="H30" t="s">
        <v>14</v>
      </c>
      <c r="I30">
        <v>1000</v>
      </c>
    </row>
    <row r="31" spans="1:9" ht="16.5" thickBot="1" x14ac:dyDescent="0.35">
      <c r="A31" t="s">
        <v>0</v>
      </c>
      <c r="B31" s="1">
        <v>47150</v>
      </c>
      <c r="C31" s="8">
        <v>7.11</v>
      </c>
      <c r="D31" s="8">
        <v>1.45</v>
      </c>
      <c r="E31" s="7">
        <f t="shared" si="2"/>
        <v>8.56</v>
      </c>
      <c r="F31" s="10">
        <v>8.5000000000000006E-2</v>
      </c>
      <c r="G31">
        <f t="shared" ca="1" si="3"/>
        <v>1145</v>
      </c>
      <c r="H31" t="s">
        <v>14</v>
      </c>
      <c r="I31">
        <v>1000</v>
      </c>
    </row>
    <row r="32" spans="1:9" ht="16.5" thickBot="1" x14ac:dyDescent="0.35">
      <c r="A32" t="s">
        <v>0</v>
      </c>
      <c r="B32" s="1">
        <v>47239</v>
      </c>
      <c r="C32" s="8">
        <v>4.96</v>
      </c>
      <c r="D32" s="8">
        <v>1.3</v>
      </c>
      <c r="E32" s="7">
        <f t="shared" si="2"/>
        <v>6.26</v>
      </c>
      <c r="F32" s="10">
        <v>8.5000000000000006E-2</v>
      </c>
      <c r="G32">
        <f t="shared" ca="1" si="3"/>
        <v>1234</v>
      </c>
      <c r="H32" t="s">
        <v>14</v>
      </c>
      <c r="I32">
        <v>1000</v>
      </c>
    </row>
    <row r="33" spans="1:9" ht="16.5" thickBot="1" x14ac:dyDescent="0.35">
      <c r="A33" t="s">
        <v>0</v>
      </c>
      <c r="B33" s="1">
        <v>47331</v>
      </c>
      <c r="C33" s="8">
        <v>6.58</v>
      </c>
      <c r="D33" s="8">
        <v>1.2</v>
      </c>
      <c r="E33" s="7">
        <f t="shared" si="2"/>
        <v>7.78</v>
      </c>
      <c r="F33" s="10">
        <v>8.5000000000000006E-2</v>
      </c>
      <c r="G33">
        <f t="shared" ca="1" si="3"/>
        <v>1326</v>
      </c>
      <c r="H33" t="s">
        <v>14</v>
      </c>
      <c r="I33">
        <v>1000</v>
      </c>
    </row>
    <row r="34" spans="1:9" ht="16.5" thickBot="1" x14ac:dyDescent="0.35">
      <c r="A34" t="s">
        <v>0</v>
      </c>
      <c r="B34" s="1">
        <v>47423</v>
      </c>
      <c r="C34" s="8">
        <v>5.59</v>
      </c>
      <c r="D34" s="8">
        <v>1.06</v>
      </c>
      <c r="E34" s="7">
        <f t="shared" si="2"/>
        <v>6.65</v>
      </c>
      <c r="F34" s="10">
        <v>8.5000000000000006E-2</v>
      </c>
      <c r="G34">
        <f t="shared" ca="1" si="3"/>
        <v>1418</v>
      </c>
      <c r="H34" t="s">
        <v>14</v>
      </c>
      <c r="I34">
        <v>1000</v>
      </c>
    </row>
    <row r="35" spans="1:9" ht="16.5" thickBot="1" x14ac:dyDescent="0.35">
      <c r="A35" t="s">
        <v>0</v>
      </c>
      <c r="B35" s="1">
        <v>47515</v>
      </c>
      <c r="C35" s="8">
        <v>7.38</v>
      </c>
      <c r="D35" s="8">
        <v>0.94</v>
      </c>
      <c r="E35" s="7">
        <f t="shared" si="2"/>
        <v>8.32</v>
      </c>
      <c r="F35" s="10">
        <v>8.5000000000000006E-2</v>
      </c>
      <c r="G35">
        <f t="shared" ca="1" si="3"/>
        <v>1510</v>
      </c>
      <c r="H35" t="s">
        <v>14</v>
      </c>
      <c r="I35">
        <v>1000</v>
      </c>
    </row>
    <row r="36" spans="1:9" ht="16.5" thickBot="1" x14ac:dyDescent="0.35">
      <c r="A36" t="s">
        <v>0</v>
      </c>
      <c r="B36" s="1">
        <v>47604</v>
      </c>
      <c r="C36" s="8">
        <v>5.27</v>
      </c>
      <c r="D36" s="8">
        <v>0.78</v>
      </c>
      <c r="E36" s="7">
        <f t="shared" si="2"/>
        <v>6.05</v>
      </c>
      <c r="F36" s="10">
        <v>8.5000000000000006E-2</v>
      </c>
      <c r="G36">
        <f t="shared" ca="1" si="3"/>
        <v>1599</v>
      </c>
      <c r="H36" t="s">
        <v>14</v>
      </c>
      <c r="I36">
        <v>1000</v>
      </c>
    </row>
    <row r="37" spans="1:9" ht="16.5" thickBot="1" x14ac:dyDescent="0.35">
      <c r="A37" t="s">
        <v>0</v>
      </c>
      <c r="B37" s="1">
        <v>47696</v>
      </c>
      <c r="C37" s="8">
        <v>6.88</v>
      </c>
      <c r="D37" s="8">
        <v>0.67</v>
      </c>
      <c r="E37" s="7">
        <f t="shared" si="2"/>
        <v>7.55</v>
      </c>
      <c r="F37" s="10">
        <v>8.5000000000000006E-2</v>
      </c>
      <c r="G37">
        <f t="shared" ca="1" si="3"/>
        <v>1691</v>
      </c>
      <c r="H37" t="s">
        <v>14</v>
      </c>
      <c r="I37">
        <v>1000</v>
      </c>
    </row>
    <row r="38" spans="1:9" ht="16.5" thickBot="1" x14ac:dyDescent="0.35">
      <c r="A38" t="s">
        <v>0</v>
      </c>
      <c r="B38" s="1">
        <v>47788</v>
      </c>
      <c r="C38" s="8">
        <v>5.91</v>
      </c>
      <c r="D38" s="8">
        <v>0.52</v>
      </c>
      <c r="E38" s="7">
        <f t="shared" si="2"/>
        <v>6.43</v>
      </c>
      <c r="F38" s="10">
        <v>8.5000000000000006E-2</v>
      </c>
      <c r="G38">
        <f t="shared" ca="1" si="3"/>
        <v>1783</v>
      </c>
      <c r="H38" t="s">
        <v>14</v>
      </c>
      <c r="I38">
        <v>1000</v>
      </c>
    </row>
    <row r="39" spans="1:9" ht="16.5" thickBot="1" x14ac:dyDescent="0.35">
      <c r="A39" t="s">
        <v>0</v>
      </c>
      <c r="B39" s="1">
        <v>47880</v>
      </c>
      <c r="C39" s="8">
        <v>8.11</v>
      </c>
      <c r="D39" s="8">
        <v>0.4</v>
      </c>
      <c r="E39" s="7">
        <f t="shared" si="2"/>
        <v>8.51</v>
      </c>
      <c r="F39" s="10">
        <v>8.5000000000000006E-2</v>
      </c>
      <c r="G39">
        <f t="shared" ca="1" si="3"/>
        <v>1875</v>
      </c>
      <c r="H39" t="s">
        <v>14</v>
      </c>
      <c r="I39">
        <v>1000</v>
      </c>
    </row>
    <row r="40" spans="1:9" ht="16.5" thickBot="1" x14ac:dyDescent="0.35">
      <c r="A40" t="s">
        <v>0</v>
      </c>
      <c r="B40" s="1">
        <v>47969</v>
      </c>
      <c r="C40" s="8">
        <v>5.99</v>
      </c>
      <c r="D40" s="8">
        <v>0.22</v>
      </c>
      <c r="E40" s="7">
        <f t="shared" si="2"/>
        <v>6.21</v>
      </c>
      <c r="F40" s="10">
        <v>8.5000000000000006E-2</v>
      </c>
      <c r="G40">
        <f t="shared" ca="1" si="3"/>
        <v>1964</v>
      </c>
      <c r="H40" t="s">
        <v>14</v>
      </c>
      <c r="I40">
        <v>1000</v>
      </c>
    </row>
    <row r="41" spans="1:9" ht="15.75" x14ac:dyDescent="0.3">
      <c r="A41" t="s">
        <v>0</v>
      </c>
      <c r="B41" s="1">
        <v>48061</v>
      </c>
      <c r="C41" s="8">
        <v>4.58</v>
      </c>
      <c r="D41" s="8">
        <v>0.1</v>
      </c>
      <c r="E41" s="7">
        <f t="shared" si="2"/>
        <v>4.68</v>
      </c>
      <c r="F41" s="10">
        <v>8.5000000000000006E-2</v>
      </c>
      <c r="G41">
        <f t="shared" ca="1" si="3"/>
        <v>2056</v>
      </c>
      <c r="H41" t="s">
        <v>14</v>
      </c>
      <c r="I41">
        <v>1000</v>
      </c>
    </row>
    <row r="42" spans="1:9" ht="15.75" x14ac:dyDescent="0.3">
      <c r="A42" t="s">
        <v>4</v>
      </c>
      <c r="B42" s="2">
        <v>45831</v>
      </c>
      <c r="C42" s="13">
        <v>0</v>
      </c>
      <c r="D42" s="13">
        <v>0</v>
      </c>
      <c r="E42" s="7">
        <f t="shared" si="2"/>
        <v>0</v>
      </c>
      <c r="F42" s="11">
        <v>0.08</v>
      </c>
      <c r="G42">
        <f t="shared" ref="G42:G83" ca="1" si="4">B42-$Q$1</f>
        <v>-174</v>
      </c>
      <c r="H42" t="s">
        <v>14</v>
      </c>
      <c r="I42">
        <v>1000</v>
      </c>
    </row>
    <row r="43" spans="1:9" ht="16.5" thickBot="1" x14ac:dyDescent="0.35">
      <c r="A43" t="s">
        <v>4</v>
      </c>
      <c r="B43" s="2">
        <v>46014</v>
      </c>
      <c r="C43" s="7">
        <v>0</v>
      </c>
      <c r="D43" s="7">
        <v>4</v>
      </c>
      <c r="E43" s="7">
        <f t="shared" ref="E43:E83" si="5">C43+D43</f>
        <v>4</v>
      </c>
      <c r="F43" s="11">
        <v>0.08</v>
      </c>
      <c r="G43">
        <f t="shared" ca="1" si="4"/>
        <v>9</v>
      </c>
      <c r="H43" t="s">
        <v>14</v>
      </c>
      <c r="I43">
        <v>1000</v>
      </c>
    </row>
    <row r="44" spans="1:9" ht="16.5" thickBot="1" x14ac:dyDescent="0.35">
      <c r="A44" t="s">
        <v>4</v>
      </c>
      <c r="B44" s="1">
        <v>46196</v>
      </c>
      <c r="C44" s="8">
        <v>0</v>
      </c>
      <c r="D44" s="8">
        <v>4</v>
      </c>
      <c r="E44" s="7">
        <f t="shared" si="5"/>
        <v>4</v>
      </c>
      <c r="F44" s="11">
        <v>0.08</v>
      </c>
      <c r="G44">
        <f t="shared" ca="1" si="4"/>
        <v>191</v>
      </c>
      <c r="H44" t="s">
        <v>14</v>
      </c>
      <c r="I44">
        <v>1000</v>
      </c>
    </row>
    <row r="45" spans="1:9" ht="16.5" thickBot="1" x14ac:dyDescent="0.35">
      <c r="A45" t="s">
        <v>4</v>
      </c>
      <c r="B45" s="1">
        <v>46379</v>
      </c>
      <c r="C45" s="8">
        <v>0</v>
      </c>
      <c r="D45" s="8">
        <v>4</v>
      </c>
      <c r="E45" s="7">
        <f t="shared" si="5"/>
        <v>4</v>
      </c>
      <c r="F45" s="11">
        <v>0.08</v>
      </c>
      <c r="G45">
        <f t="shared" ca="1" si="4"/>
        <v>374</v>
      </c>
      <c r="H45" t="s">
        <v>14</v>
      </c>
      <c r="I45">
        <v>1000</v>
      </c>
    </row>
    <row r="46" spans="1:9" ht="16.5" thickBot="1" x14ac:dyDescent="0.35">
      <c r="A46" t="s">
        <v>4</v>
      </c>
      <c r="B46" s="1">
        <v>46561</v>
      </c>
      <c r="C46" s="8">
        <v>0</v>
      </c>
      <c r="D46" s="8">
        <v>4</v>
      </c>
      <c r="E46" s="7">
        <f t="shared" si="5"/>
        <v>4</v>
      </c>
      <c r="F46" s="11">
        <v>0.08</v>
      </c>
      <c r="G46">
        <f t="shared" ca="1" si="4"/>
        <v>556</v>
      </c>
      <c r="H46" t="s">
        <v>14</v>
      </c>
      <c r="I46">
        <v>1000</v>
      </c>
    </row>
    <row r="47" spans="1:9" ht="16.5" thickBot="1" x14ac:dyDescent="0.35">
      <c r="A47" t="s">
        <v>4</v>
      </c>
      <c r="B47" s="1">
        <v>46744</v>
      </c>
      <c r="C47" s="8">
        <v>0</v>
      </c>
      <c r="D47" s="8">
        <v>4</v>
      </c>
      <c r="E47" s="7">
        <f t="shared" si="5"/>
        <v>4</v>
      </c>
      <c r="F47" s="11">
        <v>0.08</v>
      </c>
      <c r="G47">
        <f t="shared" ca="1" si="4"/>
        <v>739</v>
      </c>
      <c r="H47" t="s">
        <v>14</v>
      </c>
      <c r="I47">
        <v>1000</v>
      </c>
    </row>
    <row r="48" spans="1:9" ht="16.5" thickBot="1" x14ac:dyDescent="0.35">
      <c r="A48" t="s">
        <v>4</v>
      </c>
      <c r="B48" s="1">
        <v>46927</v>
      </c>
      <c r="C48" s="8">
        <v>0</v>
      </c>
      <c r="D48" s="8">
        <v>4</v>
      </c>
      <c r="E48" s="7">
        <f t="shared" si="5"/>
        <v>4</v>
      </c>
      <c r="F48" s="11">
        <v>0.08</v>
      </c>
      <c r="G48">
        <f t="shared" ca="1" si="4"/>
        <v>922</v>
      </c>
      <c r="H48" t="s">
        <v>14</v>
      </c>
      <c r="I48">
        <v>1000</v>
      </c>
    </row>
    <row r="49" spans="1:9" ht="16.5" thickBot="1" x14ac:dyDescent="0.35">
      <c r="A49" t="s">
        <v>4</v>
      </c>
      <c r="B49" s="1">
        <v>47113</v>
      </c>
      <c r="C49" s="8">
        <v>0</v>
      </c>
      <c r="D49" s="8">
        <v>4.07</v>
      </c>
      <c r="E49" s="7">
        <f t="shared" si="5"/>
        <v>4.07</v>
      </c>
      <c r="F49" s="11">
        <v>0.08</v>
      </c>
      <c r="G49">
        <f t="shared" ca="1" si="4"/>
        <v>1108</v>
      </c>
      <c r="H49" t="s">
        <v>14</v>
      </c>
      <c r="I49">
        <v>1000</v>
      </c>
    </row>
    <row r="50" spans="1:9" ht="16.5" thickBot="1" x14ac:dyDescent="0.35">
      <c r="A50" t="s">
        <v>4</v>
      </c>
      <c r="B50" s="1">
        <v>47294</v>
      </c>
      <c r="C50" s="8">
        <v>100</v>
      </c>
      <c r="D50" s="9">
        <v>3.98</v>
      </c>
      <c r="E50" s="7">
        <f t="shared" si="5"/>
        <v>103.98</v>
      </c>
      <c r="F50" s="11">
        <v>0.08</v>
      </c>
      <c r="G50">
        <f t="shared" ca="1" si="4"/>
        <v>1289</v>
      </c>
      <c r="H50" t="s">
        <v>14</v>
      </c>
      <c r="I50">
        <v>1000</v>
      </c>
    </row>
    <row r="51" spans="1:9" ht="17.25" thickTop="1" thickBot="1" x14ac:dyDescent="0.35">
      <c r="A51" t="s">
        <v>5</v>
      </c>
      <c r="B51" s="1">
        <v>45575</v>
      </c>
      <c r="C51" s="7">
        <v>0</v>
      </c>
      <c r="D51" s="7">
        <v>0</v>
      </c>
      <c r="E51" s="7">
        <f t="shared" si="5"/>
        <v>0</v>
      </c>
      <c r="F51" s="10">
        <v>7.7499999999999999E-2</v>
      </c>
      <c r="G51">
        <f t="shared" ca="1" si="4"/>
        <v>-430</v>
      </c>
      <c r="H51" t="s">
        <v>14</v>
      </c>
      <c r="I51">
        <v>2000</v>
      </c>
    </row>
    <row r="52" spans="1:9" ht="16.5" thickBot="1" x14ac:dyDescent="0.35">
      <c r="A52" t="s">
        <v>5</v>
      </c>
      <c r="B52" s="1">
        <v>45757</v>
      </c>
      <c r="C52" s="8">
        <v>0</v>
      </c>
      <c r="D52" s="8">
        <v>3.88</v>
      </c>
      <c r="E52" s="7">
        <f t="shared" si="5"/>
        <v>3.88</v>
      </c>
      <c r="F52" s="10">
        <v>7.7499999999999999E-2</v>
      </c>
      <c r="G52">
        <f t="shared" ca="1" si="4"/>
        <v>-248</v>
      </c>
      <c r="H52" t="s">
        <v>14</v>
      </c>
      <c r="I52">
        <v>2000</v>
      </c>
    </row>
    <row r="53" spans="1:9" ht="15.75" x14ac:dyDescent="0.3">
      <c r="A53" t="s">
        <v>5</v>
      </c>
      <c r="B53" s="1">
        <v>45940</v>
      </c>
      <c r="C53" s="8">
        <v>0</v>
      </c>
      <c r="D53" s="8">
        <v>3.88</v>
      </c>
      <c r="E53" s="7">
        <f t="shared" si="5"/>
        <v>3.88</v>
      </c>
      <c r="F53" s="10">
        <v>7.7499999999999999E-2</v>
      </c>
      <c r="G53">
        <f t="shared" ca="1" si="4"/>
        <v>-65</v>
      </c>
      <c r="H53" t="s">
        <v>14</v>
      </c>
      <c r="I53">
        <v>2000</v>
      </c>
    </row>
    <row r="54" spans="1:9" ht="16.5" thickBot="1" x14ac:dyDescent="0.35">
      <c r="A54" t="s">
        <v>5</v>
      </c>
      <c r="B54" s="2">
        <v>46122</v>
      </c>
      <c r="C54" s="7">
        <v>0</v>
      </c>
      <c r="D54" s="7">
        <v>3.88</v>
      </c>
      <c r="E54" s="7">
        <f t="shared" si="5"/>
        <v>3.88</v>
      </c>
      <c r="F54" s="10">
        <v>7.7499999999999999E-2</v>
      </c>
      <c r="G54">
        <f t="shared" ca="1" si="4"/>
        <v>117</v>
      </c>
      <c r="H54" t="s">
        <v>14</v>
      </c>
      <c r="I54">
        <v>2000</v>
      </c>
    </row>
    <row r="55" spans="1:9" ht="16.5" thickBot="1" x14ac:dyDescent="0.35">
      <c r="A55" t="s">
        <v>5</v>
      </c>
      <c r="B55" s="1">
        <v>46305</v>
      </c>
      <c r="C55" s="8">
        <v>0</v>
      </c>
      <c r="D55" s="8">
        <v>3.88</v>
      </c>
      <c r="E55" s="7">
        <f t="shared" si="5"/>
        <v>3.88</v>
      </c>
      <c r="F55" s="10">
        <v>7.7499999999999999E-2</v>
      </c>
      <c r="G55">
        <f t="shared" ca="1" si="4"/>
        <v>300</v>
      </c>
      <c r="H55" t="s">
        <v>14</v>
      </c>
      <c r="I55">
        <v>2000</v>
      </c>
    </row>
    <row r="56" spans="1:9" ht="16.5" thickBot="1" x14ac:dyDescent="0.35">
      <c r="A56" t="s">
        <v>5</v>
      </c>
      <c r="B56" s="1">
        <v>46487</v>
      </c>
      <c r="C56" s="8">
        <v>0</v>
      </c>
      <c r="D56" s="8">
        <v>3.88</v>
      </c>
      <c r="E56" s="7">
        <f t="shared" si="5"/>
        <v>3.88</v>
      </c>
      <c r="F56" s="10">
        <v>7.7499999999999999E-2</v>
      </c>
      <c r="G56">
        <f t="shared" ca="1" si="4"/>
        <v>482</v>
      </c>
      <c r="H56" t="s">
        <v>14</v>
      </c>
      <c r="I56">
        <v>2000</v>
      </c>
    </row>
    <row r="57" spans="1:9" ht="16.5" thickBot="1" x14ac:dyDescent="0.35">
      <c r="A57" t="s">
        <v>5</v>
      </c>
      <c r="B57" s="1">
        <v>46670</v>
      </c>
      <c r="C57" s="8">
        <v>0</v>
      </c>
      <c r="D57" s="8">
        <v>3.88</v>
      </c>
      <c r="E57" s="7">
        <f t="shared" si="5"/>
        <v>3.88</v>
      </c>
      <c r="F57" s="10">
        <v>7.7499999999999999E-2</v>
      </c>
      <c r="G57">
        <f t="shared" ca="1" si="4"/>
        <v>665</v>
      </c>
      <c r="H57" t="s">
        <v>14</v>
      </c>
      <c r="I57">
        <v>2000</v>
      </c>
    </row>
    <row r="58" spans="1:9" ht="16.5" thickBot="1" x14ac:dyDescent="0.35">
      <c r="A58" t="s">
        <v>5</v>
      </c>
      <c r="B58" s="1">
        <v>46853</v>
      </c>
      <c r="C58" s="8">
        <v>0</v>
      </c>
      <c r="D58" s="8">
        <v>3.88</v>
      </c>
      <c r="E58" s="7">
        <f t="shared" si="5"/>
        <v>3.88</v>
      </c>
      <c r="F58" s="10">
        <v>7.7499999999999999E-2</v>
      </c>
      <c r="G58">
        <f t="shared" ca="1" si="4"/>
        <v>848</v>
      </c>
      <c r="H58" t="s">
        <v>14</v>
      </c>
      <c r="I58">
        <v>2000</v>
      </c>
    </row>
    <row r="59" spans="1:9" ht="16.5" thickBot="1" x14ac:dyDescent="0.35">
      <c r="A59" t="s">
        <v>5</v>
      </c>
      <c r="B59" s="1">
        <v>47036</v>
      </c>
      <c r="C59" s="8">
        <v>100</v>
      </c>
      <c r="D59" s="8">
        <v>3.88</v>
      </c>
      <c r="E59" s="7">
        <f t="shared" si="5"/>
        <v>103.88</v>
      </c>
      <c r="F59" s="10">
        <v>7.7499999999999999E-2</v>
      </c>
      <c r="G59">
        <f t="shared" ca="1" si="4"/>
        <v>1031</v>
      </c>
      <c r="H59" t="s">
        <v>14</v>
      </c>
      <c r="I59">
        <v>2000</v>
      </c>
    </row>
    <row r="60" spans="1:9" ht="16.5" thickBot="1" x14ac:dyDescent="0.35">
      <c r="A60" t="s">
        <v>6</v>
      </c>
      <c r="B60" s="1">
        <v>45163</v>
      </c>
      <c r="C60" s="7">
        <v>0</v>
      </c>
      <c r="D60" s="7">
        <v>0</v>
      </c>
      <c r="E60" s="7">
        <f t="shared" si="5"/>
        <v>0</v>
      </c>
      <c r="F60" s="10">
        <v>9.2499999999999999E-2</v>
      </c>
      <c r="G60">
        <f t="shared" ca="1" si="4"/>
        <v>-842</v>
      </c>
      <c r="H60" t="s">
        <v>14</v>
      </c>
      <c r="I60">
        <v>1</v>
      </c>
    </row>
    <row r="61" spans="1:9" ht="16.5" thickBot="1" x14ac:dyDescent="0.35">
      <c r="A61" t="s">
        <v>6</v>
      </c>
      <c r="B61" s="1">
        <v>45347</v>
      </c>
      <c r="C61" s="8">
        <v>0</v>
      </c>
      <c r="D61" s="8">
        <v>4.63</v>
      </c>
      <c r="E61" s="7">
        <f t="shared" si="5"/>
        <v>4.63</v>
      </c>
      <c r="F61" s="10">
        <v>9.2499999999999999E-2</v>
      </c>
      <c r="G61">
        <f t="shared" ca="1" si="4"/>
        <v>-658</v>
      </c>
      <c r="H61" t="s">
        <v>14</v>
      </c>
      <c r="I61">
        <v>1</v>
      </c>
    </row>
    <row r="62" spans="1:9" ht="16.5" thickBot="1" x14ac:dyDescent="0.35">
      <c r="A62" t="s">
        <v>6</v>
      </c>
      <c r="B62" s="1">
        <v>45529</v>
      </c>
      <c r="C62" s="8">
        <v>0</v>
      </c>
      <c r="D62" s="8">
        <v>4.63</v>
      </c>
      <c r="E62" s="7">
        <f t="shared" si="5"/>
        <v>4.63</v>
      </c>
      <c r="F62" s="10">
        <v>9.2499999999999999E-2</v>
      </c>
      <c r="G62">
        <f t="shared" ca="1" si="4"/>
        <v>-476</v>
      </c>
      <c r="H62" t="s">
        <v>14</v>
      </c>
      <c r="I62">
        <v>1</v>
      </c>
    </row>
    <row r="63" spans="1:9" ht="16.5" thickBot="1" x14ac:dyDescent="0.35">
      <c r="A63" t="s">
        <v>6</v>
      </c>
      <c r="B63" s="1">
        <v>45713</v>
      </c>
      <c r="C63" s="8">
        <v>12.5</v>
      </c>
      <c r="D63" s="8">
        <v>4.63</v>
      </c>
      <c r="E63" s="7">
        <f t="shared" si="5"/>
        <v>17.13</v>
      </c>
      <c r="F63" s="10">
        <v>9.2499999999999999E-2</v>
      </c>
      <c r="G63">
        <f t="shared" ca="1" si="4"/>
        <v>-292</v>
      </c>
      <c r="H63" t="s">
        <v>14</v>
      </c>
      <c r="I63">
        <v>1</v>
      </c>
    </row>
    <row r="64" spans="1:9" ht="15.75" x14ac:dyDescent="0.3">
      <c r="A64" t="s">
        <v>6</v>
      </c>
      <c r="B64" s="1">
        <v>45894</v>
      </c>
      <c r="C64" s="8">
        <v>12.5</v>
      </c>
      <c r="D64" s="8">
        <v>4.05</v>
      </c>
      <c r="E64" s="7">
        <f t="shared" si="5"/>
        <v>16.55</v>
      </c>
      <c r="F64" s="10">
        <v>9.2499999999999999E-2</v>
      </c>
      <c r="G64">
        <f t="shared" ca="1" si="4"/>
        <v>-111</v>
      </c>
      <c r="H64" t="s">
        <v>14</v>
      </c>
      <c r="I64">
        <v>1</v>
      </c>
    </row>
    <row r="65" spans="1:9" ht="16.5" thickBot="1" x14ac:dyDescent="0.35">
      <c r="A65" t="s">
        <v>6</v>
      </c>
      <c r="B65" s="2">
        <v>46078</v>
      </c>
      <c r="C65" s="7">
        <v>12.5</v>
      </c>
      <c r="D65" s="7">
        <v>3.47</v>
      </c>
      <c r="E65" s="7">
        <f t="shared" si="5"/>
        <v>15.97</v>
      </c>
      <c r="F65" s="10">
        <v>9.2499999999999999E-2</v>
      </c>
      <c r="G65">
        <f t="shared" ca="1" si="4"/>
        <v>73</v>
      </c>
      <c r="H65" t="s">
        <v>14</v>
      </c>
      <c r="I65">
        <v>1</v>
      </c>
    </row>
    <row r="66" spans="1:9" ht="16.5" thickBot="1" x14ac:dyDescent="0.35">
      <c r="A66" t="s">
        <v>6</v>
      </c>
      <c r="B66" s="1">
        <v>46259</v>
      </c>
      <c r="C66" s="8">
        <v>12.5</v>
      </c>
      <c r="D66" s="8">
        <v>2.89</v>
      </c>
      <c r="E66" s="7">
        <f t="shared" si="5"/>
        <v>15.39</v>
      </c>
      <c r="F66" s="10">
        <v>9.2499999999999999E-2</v>
      </c>
      <c r="G66">
        <f t="shared" ca="1" si="4"/>
        <v>254</v>
      </c>
      <c r="H66" t="s">
        <v>14</v>
      </c>
      <c r="I66">
        <v>1</v>
      </c>
    </row>
    <row r="67" spans="1:9" ht="16.5" thickBot="1" x14ac:dyDescent="0.35">
      <c r="A67" t="s">
        <v>6</v>
      </c>
      <c r="B67" s="1">
        <v>46443</v>
      </c>
      <c r="C67" s="8">
        <v>12.5</v>
      </c>
      <c r="D67" s="8">
        <v>2.31</v>
      </c>
      <c r="E67" s="7">
        <f t="shared" si="5"/>
        <v>14.81</v>
      </c>
      <c r="F67" s="10">
        <v>9.2499999999999999E-2</v>
      </c>
      <c r="G67">
        <f t="shared" ca="1" si="4"/>
        <v>438</v>
      </c>
      <c r="H67" t="s">
        <v>14</v>
      </c>
      <c r="I67">
        <v>1</v>
      </c>
    </row>
    <row r="68" spans="1:9" ht="16.5" thickBot="1" x14ac:dyDescent="0.35">
      <c r="A68" t="s">
        <v>6</v>
      </c>
      <c r="B68" s="1">
        <v>46624</v>
      </c>
      <c r="C68" s="8">
        <v>12.5</v>
      </c>
      <c r="D68" s="8">
        <v>1.73</v>
      </c>
      <c r="E68" s="7">
        <f t="shared" si="5"/>
        <v>14.23</v>
      </c>
      <c r="F68" s="10">
        <v>9.2499999999999999E-2</v>
      </c>
      <c r="G68">
        <f t="shared" ca="1" si="4"/>
        <v>619</v>
      </c>
      <c r="H68" t="s">
        <v>14</v>
      </c>
      <c r="I68">
        <v>1</v>
      </c>
    </row>
    <row r="69" spans="1:9" ht="16.5" thickBot="1" x14ac:dyDescent="0.35">
      <c r="A69" t="s">
        <v>6</v>
      </c>
      <c r="B69" s="1">
        <v>46808</v>
      </c>
      <c r="C69" s="8">
        <v>12.5</v>
      </c>
      <c r="D69" s="8">
        <v>1.1599999999999999</v>
      </c>
      <c r="E69" s="7">
        <f t="shared" si="5"/>
        <v>13.66</v>
      </c>
      <c r="F69" s="10">
        <v>9.2499999999999999E-2</v>
      </c>
      <c r="G69">
        <f t="shared" ca="1" si="4"/>
        <v>803</v>
      </c>
      <c r="H69" t="s">
        <v>14</v>
      </c>
      <c r="I69">
        <v>1</v>
      </c>
    </row>
    <row r="70" spans="1:9" ht="16.5" thickBot="1" x14ac:dyDescent="0.35">
      <c r="A70" t="s">
        <v>6</v>
      </c>
      <c r="B70" s="1">
        <v>46990</v>
      </c>
      <c r="C70" s="8">
        <v>12.5</v>
      </c>
      <c r="D70" s="8">
        <v>0.57999999999999996</v>
      </c>
      <c r="E70" s="7">
        <f t="shared" si="5"/>
        <v>13.08</v>
      </c>
      <c r="F70" s="10">
        <v>9.2499999999999999E-2</v>
      </c>
      <c r="G70">
        <f t="shared" ca="1" si="4"/>
        <v>985</v>
      </c>
      <c r="H70" t="s">
        <v>14</v>
      </c>
      <c r="I70">
        <v>1</v>
      </c>
    </row>
    <row r="71" spans="1:9" ht="16.5" thickBot="1" x14ac:dyDescent="0.35">
      <c r="A71" t="s">
        <v>8</v>
      </c>
      <c r="B71" s="1">
        <v>45589</v>
      </c>
      <c r="C71" s="7">
        <v>0</v>
      </c>
      <c r="D71" s="7">
        <v>0</v>
      </c>
      <c r="E71" s="7">
        <f t="shared" si="5"/>
        <v>0</v>
      </c>
      <c r="F71" s="10">
        <v>9.7500000000000003E-2</v>
      </c>
      <c r="G71">
        <f t="shared" ca="1" si="4"/>
        <v>-416</v>
      </c>
      <c r="H71" t="s">
        <v>14</v>
      </c>
      <c r="I71">
        <v>100</v>
      </c>
    </row>
    <row r="72" spans="1:9" ht="16.5" thickBot="1" x14ac:dyDescent="0.35">
      <c r="A72" t="s">
        <v>8</v>
      </c>
      <c r="B72" s="1">
        <v>45771</v>
      </c>
      <c r="C72" s="8">
        <v>0</v>
      </c>
      <c r="D72" s="8">
        <v>4.88</v>
      </c>
      <c r="E72" s="7">
        <f t="shared" si="5"/>
        <v>4.88</v>
      </c>
      <c r="F72" s="10">
        <v>9.7500000000000003E-2</v>
      </c>
      <c r="G72">
        <f t="shared" ca="1" si="4"/>
        <v>-234</v>
      </c>
      <c r="H72" t="s">
        <v>14</v>
      </c>
      <c r="I72">
        <v>100</v>
      </c>
    </row>
    <row r="73" spans="1:9" ht="15.75" x14ac:dyDescent="0.3">
      <c r="A73" t="s">
        <v>8</v>
      </c>
      <c r="B73" s="1">
        <v>45954</v>
      </c>
      <c r="C73" s="8">
        <v>0</v>
      </c>
      <c r="D73" s="8">
        <v>4.88</v>
      </c>
      <c r="E73" s="7">
        <f t="shared" si="5"/>
        <v>4.88</v>
      </c>
      <c r="F73" s="10">
        <v>9.7500000000000003E-2</v>
      </c>
      <c r="G73">
        <f t="shared" ca="1" si="4"/>
        <v>-51</v>
      </c>
      <c r="H73" t="s">
        <v>14</v>
      </c>
      <c r="I73">
        <v>100</v>
      </c>
    </row>
    <row r="74" spans="1:9" ht="16.5" thickBot="1" x14ac:dyDescent="0.35">
      <c r="A74" t="s">
        <v>8</v>
      </c>
      <c r="B74" s="2">
        <v>46136</v>
      </c>
      <c r="C74" s="7">
        <v>0</v>
      </c>
      <c r="D74" s="7">
        <v>4.88</v>
      </c>
      <c r="E74" s="7">
        <f t="shared" si="5"/>
        <v>4.88</v>
      </c>
      <c r="F74" s="10">
        <v>9.7500000000000003E-2</v>
      </c>
      <c r="G74">
        <f t="shared" ca="1" si="4"/>
        <v>131</v>
      </c>
      <c r="H74" t="s">
        <v>14</v>
      </c>
      <c r="I74">
        <v>100</v>
      </c>
    </row>
    <row r="75" spans="1:9" ht="16.5" thickBot="1" x14ac:dyDescent="0.35">
      <c r="A75" t="s">
        <v>8</v>
      </c>
      <c r="B75" s="1">
        <v>46319</v>
      </c>
      <c r="C75" s="8">
        <v>0</v>
      </c>
      <c r="D75" s="8">
        <v>4.88</v>
      </c>
      <c r="E75" s="7">
        <f t="shared" si="5"/>
        <v>4.88</v>
      </c>
      <c r="F75" s="10">
        <v>9.7500000000000003E-2</v>
      </c>
      <c r="G75">
        <f t="shared" ca="1" si="4"/>
        <v>314</v>
      </c>
      <c r="H75" t="s">
        <v>14</v>
      </c>
      <c r="I75">
        <v>100</v>
      </c>
    </row>
    <row r="76" spans="1:9" ht="16.5" thickBot="1" x14ac:dyDescent="0.35">
      <c r="A76" t="s">
        <v>8</v>
      </c>
      <c r="B76" s="1">
        <v>46501</v>
      </c>
      <c r="C76" s="8">
        <v>0</v>
      </c>
      <c r="D76" s="8">
        <v>4.88</v>
      </c>
      <c r="E76" s="7">
        <f t="shared" si="5"/>
        <v>4.88</v>
      </c>
      <c r="F76" s="10">
        <v>9.7500000000000003E-2</v>
      </c>
      <c r="G76">
        <f t="shared" ca="1" si="4"/>
        <v>496</v>
      </c>
      <c r="H76" t="s">
        <v>14</v>
      </c>
      <c r="I76">
        <v>100</v>
      </c>
    </row>
    <row r="77" spans="1:9" ht="16.5" thickBot="1" x14ac:dyDescent="0.35">
      <c r="A77" t="s">
        <v>8</v>
      </c>
      <c r="B77" s="1">
        <v>46684</v>
      </c>
      <c r="C77" s="8">
        <v>0</v>
      </c>
      <c r="D77" s="8">
        <v>4.88</v>
      </c>
      <c r="E77" s="7">
        <f t="shared" si="5"/>
        <v>4.88</v>
      </c>
      <c r="F77" s="10">
        <v>9.7500000000000003E-2</v>
      </c>
      <c r="G77">
        <f t="shared" ca="1" si="4"/>
        <v>679</v>
      </c>
      <c r="H77" t="s">
        <v>14</v>
      </c>
      <c r="I77">
        <v>100</v>
      </c>
    </row>
    <row r="78" spans="1:9" ht="16.5" thickBot="1" x14ac:dyDescent="0.35">
      <c r="A78" t="s">
        <v>8</v>
      </c>
      <c r="B78" s="1">
        <v>46867</v>
      </c>
      <c r="C78" s="8">
        <v>0</v>
      </c>
      <c r="D78" s="8">
        <v>4.88</v>
      </c>
      <c r="E78" s="7">
        <f t="shared" si="5"/>
        <v>4.88</v>
      </c>
      <c r="F78" s="10">
        <v>9.7500000000000003E-2</v>
      </c>
      <c r="G78">
        <f t="shared" ca="1" si="4"/>
        <v>862</v>
      </c>
      <c r="H78" t="s">
        <v>14</v>
      </c>
      <c r="I78">
        <v>100</v>
      </c>
    </row>
    <row r="79" spans="1:9" ht="16.5" thickBot="1" x14ac:dyDescent="0.35">
      <c r="A79" t="s">
        <v>8</v>
      </c>
      <c r="B79" s="1">
        <v>47050</v>
      </c>
      <c r="C79" s="8">
        <v>33.33</v>
      </c>
      <c r="D79" s="8">
        <v>4.88</v>
      </c>
      <c r="E79" s="7">
        <f t="shared" si="5"/>
        <v>38.21</v>
      </c>
      <c r="F79" s="10">
        <v>9.7500000000000003E-2</v>
      </c>
      <c r="G79">
        <f t="shared" ca="1" si="4"/>
        <v>1045</v>
      </c>
      <c r="H79" t="s">
        <v>14</v>
      </c>
      <c r="I79">
        <v>100</v>
      </c>
    </row>
    <row r="80" spans="1:9" ht="16.5" thickBot="1" x14ac:dyDescent="0.35">
      <c r="A80" t="s">
        <v>8</v>
      </c>
      <c r="B80" s="1">
        <v>47232</v>
      </c>
      <c r="C80" s="8">
        <v>0</v>
      </c>
      <c r="D80" s="8">
        <v>3.25</v>
      </c>
      <c r="E80" s="7">
        <f t="shared" si="5"/>
        <v>3.25</v>
      </c>
      <c r="F80" s="10">
        <v>9.7500000000000003E-2</v>
      </c>
      <c r="G80">
        <f t="shared" ca="1" si="4"/>
        <v>1227</v>
      </c>
      <c r="H80" t="s">
        <v>14</v>
      </c>
      <c r="I80">
        <v>100</v>
      </c>
    </row>
    <row r="81" spans="1:9" ht="16.5" thickBot="1" x14ac:dyDescent="0.35">
      <c r="A81" t="s">
        <v>8</v>
      </c>
      <c r="B81" s="1">
        <v>47415</v>
      </c>
      <c r="C81" s="8">
        <v>33.33</v>
      </c>
      <c r="D81" s="8">
        <v>3.25</v>
      </c>
      <c r="E81" s="7">
        <f t="shared" si="5"/>
        <v>36.58</v>
      </c>
      <c r="F81" s="10">
        <v>9.7500000000000003E-2</v>
      </c>
      <c r="G81">
        <f t="shared" ca="1" si="4"/>
        <v>1410</v>
      </c>
      <c r="H81" t="s">
        <v>14</v>
      </c>
      <c r="I81">
        <v>100</v>
      </c>
    </row>
    <row r="82" spans="1:9" ht="16.5" thickBot="1" x14ac:dyDescent="0.35">
      <c r="A82" t="s">
        <v>8</v>
      </c>
      <c r="B82" s="1">
        <v>47597</v>
      </c>
      <c r="C82" s="8">
        <v>0</v>
      </c>
      <c r="D82" s="8">
        <v>1.63</v>
      </c>
      <c r="E82" s="7">
        <f t="shared" si="5"/>
        <v>1.63</v>
      </c>
      <c r="F82" s="10">
        <v>9.7500000000000003E-2</v>
      </c>
      <c r="G82">
        <f t="shared" ca="1" si="4"/>
        <v>1592</v>
      </c>
      <c r="H82" t="s">
        <v>14</v>
      </c>
      <c r="I82">
        <v>100</v>
      </c>
    </row>
    <row r="83" spans="1:9" ht="15.75" x14ac:dyDescent="0.3">
      <c r="A83" t="s">
        <v>8</v>
      </c>
      <c r="B83" s="1">
        <v>47780</v>
      </c>
      <c r="C83" s="8">
        <v>33.340000000000003</v>
      </c>
      <c r="D83" s="8">
        <v>1.63</v>
      </c>
      <c r="E83" s="7">
        <f t="shared" si="5"/>
        <v>34.970000000000006</v>
      </c>
      <c r="F83" s="10">
        <v>9.7500000000000003E-2</v>
      </c>
      <c r="G83">
        <f t="shared" ca="1" si="4"/>
        <v>1775</v>
      </c>
      <c r="H83" t="s">
        <v>14</v>
      </c>
      <c r="I83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Zivkovich</dc:creator>
  <cp:lastModifiedBy>Daniel Zivkovich</cp:lastModifiedBy>
  <dcterms:created xsi:type="dcterms:W3CDTF">2025-12-12T23:02:58Z</dcterms:created>
  <dcterms:modified xsi:type="dcterms:W3CDTF">2025-12-14T14:22:58Z</dcterms:modified>
</cp:coreProperties>
</file>
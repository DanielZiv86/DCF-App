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ftoIZqhxjIK-zxyM2xIG9xFIX4GG9BvJ\DCF\Marketing\Instagram\Scripts Python\App DCF Dani\data\"/>
    </mc:Choice>
  </mc:AlternateContent>
  <xr:revisionPtr revIDLastSave="0" documentId="13_ncr:1_{7FAC489C-82FE-4888-B192-F640EC1FC454}" xr6:coauthVersionLast="47" xr6:coauthVersionMax="47" xr10:uidLastSave="{00000000-0000-0000-0000-000000000000}"/>
  <bookViews>
    <workbookView xWindow="-120" yWindow="-120" windowWidth="29040" windowHeight="15840" xr2:uid="{BB8ACD95-2FAD-499C-A444-8C523315DB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0" i="1" l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96" i="1"/>
  <c r="E97" i="1"/>
  <c r="E98" i="1"/>
  <c r="E99" i="1"/>
  <c r="E100" i="1"/>
  <c r="E101" i="1"/>
  <c r="E102" i="1"/>
  <c r="E103" i="1"/>
  <c r="E104" i="1"/>
  <c r="E105" i="1"/>
  <c r="E106" i="1"/>
  <c r="E107" i="1"/>
  <c r="E84" i="1"/>
  <c r="E85" i="1"/>
  <c r="E86" i="1"/>
  <c r="E87" i="1"/>
  <c r="E88" i="1"/>
  <c r="E89" i="1"/>
  <c r="E90" i="1"/>
  <c r="E91" i="1"/>
  <c r="E92" i="1"/>
  <c r="E93" i="1"/>
  <c r="E94" i="1"/>
  <c r="E95" i="1"/>
  <c r="E71" i="1"/>
  <c r="E72" i="1"/>
  <c r="E73" i="1"/>
  <c r="E60" i="1"/>
  <c r="E61" i="1"/>
  <c r="E62" i="1"/>
  <c r="E63" i="1"/>
  <c r="E64" i="1"/>
  <c r="E51" i="1"/>
  <c r="E52" i="1"/>
  <c r="E53" i="1"/>
  <c r="E4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Q1" i="1"/>
  <c r="G19" i="1" s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3" i="1"/>
  <c r="E44" i="1"/>
  <c r="E45" i="1"/>
  <c r="E46" i="1"/>
  <c r="E47" i="1"/>
  <c r="E48" i="1"/>
  <c r="E49" i="1"/>
  <c r="E50" i="1"/>
  <c r="E54" i="1"/>
  <c r="E55" i="1"/>
  <c r="E56" i="1"/>
  <c r="E57" i="1"/>
  <c r="E58" i="1"/>
  <c r="E59" i="1"/>
  <c r="E65" i="1"/>
  <c r="E66" i="1"/>
  <c r="E67" i="1"/>
  <c r="E68" i="1"/>
  <c r="E69" i="1"/>
  <c r="E70" i="1"/>
  <c r="E74" i="1"/>
  <c r="E75" i="1"/>
  <c r="E76" i="1"/>
  <c r="E77" i="1"/>
  <c r="E78" i="1"/>
  <c r="E79" i="1"/>
  <c r="E80" i="1"/>
  <c r="E81" i="1"/>
  <c r="E82" i="1"/>
  <c r="E83" i="1"/>
  <c r="E19" i="1"/>
  <c r="G225" i="1" l="1"/>
  <c r="G213" i="1"/>
  <c r="G232" i="1"/>
  <c r="G228" i="1"/>
  <c r="G224" i="1"/>
  <c r="G220" i="1"/>
  <c r="G216" i="1"/>
  <c r="G212" i="1"/>
  <c r="G233" i="1"/>
  <c r="G221" i="1"/>
  <c r="G235" i="1"/>
  <c r="G231" i="1"/>
  <c r="G227" i="1"/>
  <c r="G223" i="1"/>
  <c r="G219" i="1"/>
  <c r="G215" i="1"/>
  <c r="G211" i="1"/>
  <c r="G229" i="1"/>
  <c r="G217" i="1"/>
  <c r="G234" i="1"/>
  <c r="G230" i="1"/>
  <c r="G226" i="1"/>
  <c r="G222" i="1"/>
  <c r="G218" i="1"/>
  <c r="G214" i="1"/>
  <c r="G210" i="1"/>
  <c r="G209" i="1"/>
  <c r="G205" i="1"/>
  <c r="G201" i="1"/>
  <c r="G197" i="1"/>
  <c r="G206" i="1"/>
  <c r="G202" i="1"/>
  <c r="G198" i="1"/>
  <c r="G208" i="1"/>
  <c r="G204" i="1"/>
  <c r="G200" i="1"/>
  <c r="G196" i="1"/>
  <c r="G207" i="1"/>
  <c r="G203" i="1"/>
  <c r="G199" i="1"/>
  <c r="G195" i="1"/>
  <c r="G191" i="1"/>
  <c r="G187" i="1"/>
  <c r="G183" i="1"/>
  <c r="G194" i="1"/>
  <c r="G190" i="1"/>
  <c r="G186" i="1"/>
  <c r="G182" i="1"/>
  <c r="G193" i="1"/>
  <c r="G189" i="1"/>
  <c r="G185" i="1"/>
  <c r="G181" i="1"/>
  <c r="G192" i="1"/>
  <c r="G188" i="1"/>
  <c r="G184" i="1"/>
  <c r="G180" i="1"/>
  <c r="G179" i="1"/>
  <c r="G175" i="1"/>
  <c r="G171" i="1"/>
  <c r="G178" i="1"/>
  <c r="G174" i="1"/>
  <c r="G170" i="1"/>
  <c r="G177" i="1"/>
  <c r="G173" i="1"/>
  <c r="G169" i="1"/>
  <c r="G176" i="1"/>
  <c r="G172" i="1"/>
  <c r="G168" i="1"/>
  <c r="G166" i="1"/>
  <c r="G162" i="1"/>
  <c r="G154" i="1"/>
  <c r="G165" i="1"/>
  <c r="G161" i="1"/>
  <c r="G157" i="1"/>
  <c r="G153" i="1"/>
  <c r="G164" i="1"/>
  <c r="G160" i="1"/>
  <c r="G156" i="1"/>
  <c r="G152" i="1"/>
  <c r="G158" i="1"/>
  <c r="G167" i="1"/>
  <c r="G163" i="1"/>
  <c r="G159" i="1"/>
  <c r="G155" i="1"/>
  <c r="G151" i="1"/>
  <c r="G147" i="1"/>
  <c r="G143" i="1"/>
  <c r="G139" i="1"/>
  <c r="G150" i="1"/>
  <c r="G146" i="1"/>
  <c r="G142" i="1"/>
  <c r="G138" i="1"/>
  <c r="G149" i="1"/>
  <c r="G145" i="1"/>
  <c r="G141" i="1"/>
  <c r="G137" i="1"/>
  <c r="G148" i="1"/>
  <c r="G144" i="1"/>
  <c r="G140" i="1"/>
  <c r="G136" i="1"/>
  <c r="G132" i="1"/>
  <c r="G128" i="1"/>
  <c r="G124" i="1"/>
  <c r="G135" i="1"/>
  <c r="G131" i="1"/>
  <c r="G127" i="1"/>
  <c r="G123" i="1"/>
  <c r="G134" i="1"/>
  <c r="G130" i="1"/>
  <c r="G126" i="1"/>
  <c r="G122" i="1"/>
  <c r="G133" i="1"/>
  <c r="G129" i="1"/>
  <c r="G125" i="1"/>
  <c r="G121" i="1"/>
  <c r="G111" i="1"/>
  <c r="G118" i="1"/>
  <c r="G114" i="1"/>
  <c r="G110" i="1"/>
  <c r="G115" i="1"/>
  <c r="G117" i="1"/>
  <c r="G113" i="1"/>
  <c r="G109" i="1"/>
  <c r="G119" i="1"/>
  <c r="G120" i="1"/>
  <c r="G116" i="1"/>
  <c r="G112" i="1"/>
  <c r="G108" i="1"/>
  <c r="G105" i="1"/>
  <c r="G101" i="1"/>
  <c r="G97" i="1"/>
  <c r="G107" i="1"/>
  <c r="G103" i="1"/>
  <c r="G99" i="1"/>
  <c r="G106" i="1"/>
  <c r="G102" i="1"/>
  <c r="G98" i="1"/>
  <c r="G104" i="1"/>
  <c r="G100" i="1"/>
  <c r="G96" i="1"/>
  <c r="G89" i="1"/>
  <c r="G92" i="1"/>
  <c r="G95" i="1"/>
  <c r="G91" i="1"/>
  <c r="G87" i="1"/>
  <c r="G93" i="1"/>
  <c r="G88" i="1"/>
  <c r="G94" i="1"/>
  <c r="G90" i="1"/>
  <c r="G86" i="1"/>
  <c r="G85" i="1"/>
  <c r="G84" i="1"/>
  <c r="G73" i="1"/>
  <c r="G72" i="1"/>
  <c r="G71" i="1"/>
  <c r="G62" i="1"/>
  <c r="G61" i="1"/>
  <c r="G63" i="1"/>
  <c r="G64" i="1"/>
  <c r="G60" i="1"/>
  <c r="G53" i="1"/>
  <c r="G52" i="1"/>
  <c r="G51" i="1"/>
  <c r="G42" i="1"/>
  <c r="G15" i="1"/>
  <c r="G7" i="1"/>
  <c r="G17" i="1"/>
  <c r="G13" i="1"/>
  <c r="G9" i="1"/>
  <c r="G5" i="1"/>
  <c r="G16" i="1"/>
  <c r="G12" i="1"/>
  <c r="G8" i="1"/>
  <c r="G4" i="1"/>
  <c r="G3" i="1"/>
  <c r="G11" i="1"/>
  <c r="G18" i="1"/>
  <c r="G14" i="1"/>
  <c r="G10" i="1"/>
  <c r="G6" i="1"/>
  <c r="G2" i="1"/>
  <c r="G27" i="1"/>
  <c r="G83" i="1"/>
  <c r="G79" i="1"/>
  <c r="G75" i="1"/>
  <c r="G68" i="1"/>
  <c r="G59" i="1"/>
  <c r="G55" i="1"/>
  <c r="G48" i="1"/>
  <c r="G44" i="1"/>
  <c r="G39" i="1"/>
  <c r="G35" i="1"/>
  <c r="G31" i="1"/>
  <c r="G23" i="1"/>
  <c r="G82" i="1"/>
  <c r="G78" i="1"/>
  <c r="G74" i="1"/>
  <c r="G67" i="1"/>
  <c r="G58" i="1"/>
  <c r="G54" i="1"/>
  <c r="G47" i="1"/>
  <c r="G43" i="1"/>
  <c r="G38" i="1"/>
  <c r="G34" i="1"/>
  <c r="G30" i="1"/>
  <c r="G26" i="1"/>
  <c r="G22" i="1"/>
  <c r="G81" i="1"/>
  <c r="G77" i="1"/>
  <c r="G70" i="1"/>
  <c r="G66" i="1"/>
  <c r="G57" i="1"/>
  <c r="G50" i="1"/>
  <c r="G46" i="1"/>
  <c r="G41" i="1"/>
  <c r="G37" i="1"/>
  <c r="G33" i="1"/>
  <c r="G29" i="1"/>
  <c r="G25" i="1"/>
  <c r="G21" i="1"/>
  <c r="G80" i="1"/>
  <c r="G76" i="1"/>
  <c r="G69" i="1"/>
  <c r="G65" i="1"/>
  <c r="G56" i="1"/>
  <c r="G49" i="1"/>
  <c r="G45" i="1"/>
  <c r="G40" i="1"/>
  <c r="G36" i="1"/>
  <c r="G32" i="1"/>
  <c r="G28" i="1"/>
  <c r="G24" i="1"/>
  <c r="G20" i="1"/>
</calcChain>
</file>

<file path=xl/sharedStrings.xml><?xml version="1.0" encoding="utf-8"?>
<sst xmlns="http://schemas.openxmlformats.org/spreadsheetml/2006/main" count="477" uniqueCount="25">
  <si>
    <t>ARC1O</t>
  </si>
  <si>
    <t>ticker</t>
  </si>
  <si>
    <t>date</t>
  </si>
  <si>
    <t>cf</t>
  </si>
  <si>
    <t>BACGO</t>
  </si>
  <si>
    <t>BYCHO</t>
  </si>
  <si>
    <t>CAC5O</t>
  </si>
  <si>
    <t>Tasa de Cupon</t>
  </si>
  <si>
    <t>DNC7O</t>
  </si>
  <si>
    <t>Int.</t>
  </si>
  <si>
    <t>Dias</t>
  </si>
  <si>
    <t>Principal</t>
  </si>
  <si>
    <t>legislacion</t>
  </si>
  <si>
    <t>lamina_minima</t>
  </si>
  <si>
    <t>NY</t>
  </si>
  <si>
    <t>TLC1O</t>
  </si>
  <si>
    <t>PNDCO</t>
  </si>
  <si>
    <t>RUCDO</t>
  </si>
  <si>
    <t>TLCMO</t>
  </si>
  <si>
    <t>YMCXO</t>
  </si>
  <si>
    <t>PNXCO</t>
  </si>
  <si>
    <t>PLC5O</t>
  </si>
  <si>
    <t>MGCMO</t>
  </si>
  <si>
    <t>PLC4O</t>
  </si>
  <si>
    <t>YMCJO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</si>
</sst>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FF0000"/>
      <name val="Trebuchet MS"/>
      <family val="2"/>
    </font>
    <font>
      <sz val="8"/>
      <color theme="1"/>
      <name val="Trebuchet MS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dotted">
        <color rgb="FF000000"/>
      </top>
      <bottom style="dott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dotted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5" fontId="2" fillId="0" borderId="2" xfId="0" applyNumberFormat="1" applyFont="1" applyBorder="1" applyAlignment="1">
      <alignment horizontal="center" wrapText="1"/>
    </xf>
    <xf numFmtId="15" fontId="2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10" fontId="0" fillId="0" borderId="0" xfId="0" applyNumberFormat="1"/>
    <xf numFmtId="9" fontId="0" fillId="0" borderId="0" xfId="0" applyNumberFormat="1"/>
    <xf numFmtId="0" fontId="4" fillId="0" borderId="1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168" fontId="0" fillId="0" borderId="0" xfId="0" applyNumberFormat="1"/>
    <xf numFmtId="15" fontId="2" fillId="2" borderId="2" xfId="0" applyNumberFormat="1" applyFont="1" applyFill="1" applyBorder="1" applyAlignment="1">
      <alignment horizontal="center" wrapText="1"/>
    </xf>
    <xf numFmtId="15" fontId="2" fillId="3" borderId="2" xfId="0" applyNumberFormat="1" applyFont="1" applyFill="1" applyBorder="1" applyAlignment="1">
      <alignment horizontal="center" wrapText="1"/>
    </xf>
    <xf numFmtId="0" fontId="4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99CC-3586-44AD-A24E-E30070673374}">
  <dimension ref="A1:Q235"/>
  <sheetViews>
    <sheetView tabSelected="1" topLeftCell="A204" zoomScale="85" zoomScaleNormal="85" workbookViewId="0">
      <selection activeCell="J214" sqref="J214"/>
    </sheetView>
  </sheetViews>
  <sheetFormatPr baseColWidth="10" defaultRowHeight="15" x14ac:dyDescent="0.25"/>
  <cols>
    <col min="9" max="9" width="16.42578125" customWidth="1"/>
  </cols>
  <sheetData>
    <row r="1" spans="1:17" ht="30.75" thickBot="1" x14ac:dyDescent="0.3">
      <c r="A1" s="3" t="s">
        <v>1</v>
      </c>
      <c r="B1" s="3" t="s">
        <v>2</v>
      </c>
      <c r="C1" s="3" t="s">
        <v>11</v>
      </c>
      <c r="D1" s="3" t="s">
        <v>9</v>
      </c>
      <c r="E1" s="3" t="s">
        <v>3</v>
      </c>
      <c r="F1" s="3" t="s">
        <v>7</v>
      </c>
      <c r="G1" s="3" t="s">
        <v>10</v>
      </c>
      <c r="H1" s="3" t="s">
        <v>12</v>
      </c>
      <c r="I1" s="3" t="s">
        <v>13</v>
      </c>
      <c r="Q1" s="5">
        <f ca="1">+TODAY()</f>
        <v>46011</v>
      </c>
    </row>
    <row r="2" spans="1:17" ht="16.5" thickBot="1" x14ac:dyDescent="0.35">
      <c r="A2" t="s">
        <v>0</v>
      </c>
      <c r="B2" s="1">
        <v>44497</v>
      </c>
      <c r="C2" s="12">
        <v>0</v>
      </c>
      <c r="D2" s="12"/>
      <c r="E2" s="7">
        <f t="shared" ref="E2:E18" si="0">C2+D2</f>
        <v>0</v>
      </c>
      <c r="F2" s="10"/>
      <c r="G2">
        <f t="shared" ref="G2:G18" ca="1" si="1">B2-$Q$1</f>
        <v>-1514</v>
      </c>
      <c r="H2" t="s">
        <v>14</v>
      </c>
      <c r="I2">
        <v>1000</v>
      </c>
    </row>
    <row r="3" spans="1:17" ht="16.5" thickBot="1" x14ac:dyDescent="0.35">
      <c r="A3" t="s">
        <v>0</v>
      </c>
      <c r="B3" s="1">
        <v>44593</v>
      </c>
      <c r="C3">
        <v>0</v>
      </c>
      <c r="D3" s="8">
        <v>2.2000000000000002</v>
      </c>
      <c r="E3" s="7">
        <f t="shared" si="0"/>
        <v>2.2000000000000002</v>
      </c>
      <c r="F3" s="10">
        <v>8.5000000000000006E-2</v>
      </c>
      <c r="G3">
        <f t="shared" ca="1" si="1"/>
        <v>-1418</v>
      </c>
      <c r="H3" t="s">
        <v>14</v>
      </c>
      <c r="I3">
        <v>1000</v>
      </c>
    </row>
    <row r="4" spans="1:17" ht="16.5" thickBot="1" x14ac:dyDescent="0.35">
      <c r="A4" t="s">
        <v>0</v>
      </c>
      <c r="B4" s="1">
        <v>44682</v>
      </c>
      <c r="C4">
        <v>0</v>
      </c>
      <c r="D4" s="8">
        <v>2.13</v>
      </c>
      <c r="E4" s="7">
        <f t="shared" si="0"/>
        <v>2.13</v>
      </c>
      <c r="F4" s="10">
        <v>8.5000000000000006E-2</v>
      </c>
      <c r="G4">
        <f t="shared" ca="1" si="1"/>
        <v>-1329</v>
      </c>
      <c r="H4" t="s">
        <v>14</v>
      </c>
      <c r="I4">
        <v>1000</v>
      </c>
    </row>
    <row r="5" spans="1:17" ht="16.5" thickBot="1" x14ac:dyDescent="0.35">
      <c r="A5" t="s">
        <v>0</v>
      </c>
      <c r="B5" s="1">
        <v>44774</v>
      </c>
      <c r="C5">
        <v>0</v>
      </c>
      <c r="D5" s="8">
        <v>2.13</v>
      </c>
      <c r="E5" s="7">
        <f t="shared" si="0"/>
        <v>2.13</v>
      </c>
      <c r="F5" s="10">
        <v>8.5000000000000006E-2</v>
      </c>
      <c r="G5">
        <f t="shared" ca="1" si="1"/>
        <v>-1237</v>
      </c>
      <c r="H5" t="s">
        <v>14</v>
      </c>
      <c r="I5">
        <v>1000</v>
      </c>
      <c r="K5" s="3"/>
      <c r="L5" s="3"/>
      <c r="M5" s="3"/>
    </row>
    <row r="6" spans="1:17" ht="16.5" thickBot="1" x14ac:dyDescent="0.35">
      <c r="A6" t="s">
        <v>0</v>
      </c>
      <c r="B6" s="1">
        <v>44866</v>
      </c>
      <c r="C6">
        <v>0</v>
      </c>
      <c r="D6" s="8">
        <v>2.13</v>
      </c>
      <c r="E6" s="7">
        <f t="shared" si="0"/>
        <v>2.13</v>
      </c>
      <c r="F6" s="10">
        <v>8.5000000000000006E-2</v>
      </c>
      <c r="G6">
        <f t="shared" ca="1" si="1"/>
        <v>-1145</v>
      </c>
      <c r="H6" t="s">
        <v>14</v>
      </c>
      <c r="I6">
        <v>1000</v>
      </c>
      <c r="K6" s="4"/>
      <c r="L6" s="6"/>
      <c r="M6" s="4"/>
    </row>
    <row r="7" spans="1:17" ht="16.5" thickBot="1" x14ac:dyDescent="0.35">
      <c r="A7" t="s">
        <v>0</v>
      </c>
      <c r="B7" s="1">
        <v>44958</v>
      </c>
      <c r="C7">
        <v>0</v>
      </c>
      <c r="D7" s="8">
        <v>2.13</v>
      </c>
      <c r="E7" s="7">
        <f t="shared" si="0"/>
        <v>2.13</v>
      </c>
      <c r="F7" s="10">
        <v>8.5000000000000006E-2</v>
      </c>
      <c r="G7">
        <f t="shared" ca="1" si="1"/>
        <v>-1053</v>
      </c>
      <c r="H7" t="s">
        <v>14</v>
      </c>
      <c r="I7">
        <v>1000</v>
      </c>
      <c r="K7" s="4"/>
      <c r="L7" s="6"/>
      <c r="M7" s="4"/>
    </row>
    <row r="8" spans="1:17" ht="16.5" thickBot="1" x14ac:dyDescent="0.35">
      <c r="A8" t="s">
        <v>0</v>
      </c>
      <c r="B8" s="1">
        <v>45047</v>
      </c>
      <c r="C8">
        <v>0</v>
      </c>
      <c r="D8" s="8">
        <v>2.13</v>
      </c>
      <c r="E8" s="7">
        <f t="shared" si="0"/>
        <v>2.13</v>
      </c>
      <c r="F8" s="10">
        <v>8.5000000000000006E-2</v>
      </c>
      <c r="G8">
        <f t="shared" ca="1" si="1"/>
        <v>-964</v>
      </c>
      <c r="H8" t="s">
        <v>14</v>
      </c>
      <c r="I8">
        <v>1000</v>
      </c>
      <c r="K8" s="4"/>
      <c r="L8" s="6"/>
      <c r="M8" s="4"/>
    </row>
    <row r="9" spans="1:17" ht="16.5" thickBot="1" x14ac:dyDescent="0.35">
      <c r="A9" t="s">
        <v>0</v>
      </c>
      <c r="B9" s="1">
        <v>45139</v>
      </c>
      <c r="C9">
        <v>0</v>
      </c>
      <c r="D9" s="8">
        <v>2.13</v>
      </c>
      <c r="E9" s="7">
        <f t="shared" si="0"/>
        <v>2.13</v>
      </c>
      <c r="F9" s="10">
        <v>8.5000000000000006E-2</v>
      </c>
      <c r="G9">
        <f t="shared" ca="1" si="1"/>
        <v>-872</v>
      </c>
      <c r="H9" t="s">
        <v>14</v>
      </c>
      <c r="I9">
        <v>1000</v>
      </c>
      <c r="K9" s="4"/>
      <c r="L9" s="6"/>
      <c r="M9" s="4"/>
    </row>
    <row r="10" spans="1:17" ht="16.5" thickBot="1" x14ac:dyDescent="0.35">
      <c r="A10" t="s">
        <v>0</v>
      </c>
      <c r="B10" s="1">
        <v>45231</v>
      </c>
      <c r="C10">
        <v>0</v>
      </c>
      <c r="D10" s="8">
        <v>2.13</v>
      </c>
      <c r="E10" s="7">
        <f t="shared" si="0"/>
        <v>2.13</v>
      </c>
      <c r="F10" s="10">
        <v>8.5000000000000006E-2</v>
      </c>
      <c r="G10">
        <f t="shared" ca="1" si="1"/>
        <v>-780</v>
      </c>
      <c r="H10" t="s">
        <v>14</v>
      </c>
      <c r="I10">
        <v>1000</v>
      </c>
      <c r="K10" s="4"/>
      <c r="L10" s="6"/>
      <c r="M10" s="4"/>
    </row>
    <row r="11" spans="1:17" ht="16.5" thickBot="1" x14ac:dyDescent="0.35">
      <c r="A11" t="s">
        <v>0</v>
      </c>
      <c r="B11" s="1">
        <v>45323</v>
      </c>
      <c r="C11">
        <v>0</v>
      </c>
      <c r="D11" s="8">
        <v>2.13</v>
      </c>
      <c r="E11" s="7">
        <f t="shared" si="0"/>
        <v>2.13</v>
      </c>
      <c r="F11" s="10">
        <v>8.5000000000000006E-2</v>
      </c>
      <c r="G11">
        <f t="shared" ca="1" si="1"/>
        <v>-688</v>
      </c>
      <c r="H11" t="s">
        <v>14</v>
      </c>
      <c r="I11">
        <v>1000</v>
      </c>
    </row>
    <row r="12" spans="1:17" ht="16.5" thickBot="1" x14ac:dyDescent="0.35">
      <c r="A12" t="s">
        <v>0</v>
      </c>
      <c r="B12" s="1">
        <v>45413</v>
      </c>
      <c r="C12">
        <v>0</v>
      </c>
      <c r="D12" s="8">
        <v>2.13</v>
      </c>
      <c r="E12" s="7">
        <f t="shared" si="0"/>
        <v>2.13</v>
      </c>
      <c r="F12" s="10">
        <v>8.5000000000000006E-2</v>
      </c>
      <c r="G12">
        <f t="shared" ca="1" si="1"/>
        <v>-598</v>
      </c>
      <c r="H12" t="s">
        <v>14</v>
      </c>
      <c r="I12">
        <v>1000</v>
      </c>
    </row>
    <row r="13" spans="1:17" ht="16.5" thickBot="1" x14ac:dyDescent="0.35">
      <c r="A13" t="s">
        <v>0</v>
      </c>
      <c r="B13" s="1">
        <v>45505</v>
      </c>
      <c r="C13">
        <v>0</v>
      </c>
      <c r="D13" s="8">
        <v>2.13</v>
      </c>
      <c r="E13" s="7">
        <f t="shared" si="0"/>
        <v>2.13</v>
      </c>
      <c r="F13" s="10">
        <v>8.5000000000000006E-2</v>
      </c>
      <c r="G13">
        <f t="shared" ca="1" si="1"/>
        <v>-506</v>
      </c>
      <c r="H13" t="s">
        <v>14</v>
      </c>
      <c r="I13">
        <v>1000</v>
      </c>
    </row>
    <row r="14" spans="1:17" ht="16.5" thickBot="1" x14ac:dyDescent="0.35">
      <c r="A14" t="s">
        <v>0</v>
      </c>
      <c r="B14" s="1">
        <v>45597</v>
      </c>
      <c r="C14">
        <v>0</v>
      </c>
      <c r="D14" s="8">
        <v>2.13</v>
      </c>
      <c r="E14" s="7">
        <f t="shared" si="0"/>
        <v>2.13</v>
      </c>
      <c r="F14" s="10">
        <v>8.5000000000000006E-2</v>
      </c>
      <c r="G14">
        <f t="shared" ca="1" si="1"/>
        <v>-414</v>
      </c>
      <c r="H14" t="s">
        <v>14</v>
      </c>
      <c r="I14">
        <v>1000</v>
      </c>
    </row>
    <row r="15" spans="1:17" ht="16.5" thickBot="1" x14ac:dyDescent="0.35">
      <c r="A15" t="s">
        <v>0</v>
      </c>
      <c r="B15" s="1">
        <v>45689</v>
      </c>
      <c r="C15">
        <v>0</v>
      </c>
      <c r="D15" s="8">
        <v>2.13</v>
      </c>
      <c r="E15" s="7">
        <f t="shared" si="0"/>
        <v>2.13</v>
      </c>
      <c r="F15" s="10">
        <v>8.5000000000000006E-2</v>
      </c>
      <c r="G15">
        <f t="shared" ca="1" si="1"/>
        <v>-322</v>
      </c>
      <c r="H15" t="s">
        <v>14</v>
      </c>
      <c r="I15">
        <v>1000</v>
      </c>
    </row>
    <row r="16" spans="1:17" ht="16.5" thickBot="1" x14ac:dyDescent="0.35">
      <c r="A16" t="s">
        <v>0</v>
      </c>
      <c r="B16" s="1">
        <v>45778</v>
      </c>
      <c r="C16">
        <v>0</v>
      </c>
      <c r="D16" s="8">
        <v>2.13</v>
      </c>
      <c r="E16" s="7">
        <f t="shared" si="0"/>
        <v>2.13</v>
      </c>
      <c r="F16" s="10">
        <v>8.5000000000000006E-2</v>
      </c>
      <c r="G16">
        <f t="shared" ca="1" si="1"/>
        <v>-233</v>
      </c>
      <c r="H16" t="s">
        <v>14</v>
      </c>
      <c r="I16">
        <v>1000</v>
      </c>
    </row>
    <row r="17" spans="1:9" ht="16.5" thickBot="1" x14ac:dyDescent="0.35">
      <c r="A17" t="s">
        <v>0</v>
      </c>
      <c r="B17" s="1">
        <v>45870</v>
      </c>
      <c r="C17">
        <v>0</v>
      </c>
      <c r="D17" s="8">
        <v>2.13</v>
      </c>
      <c r="E17" s="7">
        <f t="shared" si="0"/>
        <v>2.13</v>
      </c>
      <c r="F17" s="10">
        <v>8.5000000000000006E-2</v>
      </c>
      <c r="G17">
        <f t="shared" ca="1" si="1"/>
        <v>-141</v>
      </c>
      <c r="H17" t="s">
        <v>14</v>
      </c>
      <c r="I17">
        <v>1000</v>
      </c>
    </row>
    <row r="18" spans="1:9" ht="15.75" x14ac:dyDescent="0.3">
      <c r="A18" t="s">
        <v>0</v>
      </c>
      <c r="B18" s="1">
        <v>45962</v>
      </c>
      <c r="C18">
        <v>0</v>
      </c>
      <c r="D18" s="8">
        <v>2.13</v>
      </c>
      <c r="E18" s="7">
        <f t="shared" si="0"/>
        <v>2.13</v>
      </c>
      <c r="F18" s="10">
        <v>8.5000000000000006E-2</v>
      </c>
      <c r="G18">
        <f t="shared" ca="1" si="1"/>
        <v>-49</v>
      </c>
      <c r="H18" t="s">
        <v>14</v>
      </c>
      <c r="I18">
        <v>1000</v>
      </c>
    </row>
    <row r="19" spans="1:9" ht="16.5" thickBot="1" x14ac:dyDescent="0.35">
      <c r="A19" t="s">
        <v>0</v>
      </c>
      <c r="B19" s="2">
        <v>46054</v>
      </c>
      <c r="C19" s="7">
        <v>1.53</v>
      </c>
      <c r="D19" s="7">
        <v>2.13</v>
      </c>
      <c r="E19" s="7">
        <f t="shared" ref="E19:E42" si="2">C19+D19</f>
        <v>3.66</v>
      </c>
      <c r="F19" s="10">
        <v>8.5000000000000006E-2</v>
      </c>
      <c r="G19">
        <f t="shared" ref="G19:G41" ca="1" si="3">B19-$Q$1</f>
        <v>43</v>
      </c>
      <c r="H19" t="s">
        <v>14</v>
      </c>
      <c r="I19">
        <v>1000</v>
      </c>
    </row>
    <row r="20" spans="1:9" ht="16.5" thickBot="1" x14ac:dyDescent="0.35">
      <c r="A20" t="s">
        <v>0</v>
      </c>
      <c r="B20" s="1">
        <v>46143</v>
      </c>
      <c r="C20" s="8">
        <v>0</v>
      </c>
      <c r="D20" s="8">
        <v>2.09</v>
      </c>
      <c r="E20" s="7">
        <f t="shared" si="2"/>
        <v>2.09</v>
      </c>
      <c r="F20" s="10">
        <v>8.5000000000000006E-2</v>
      </c>
      <c r="G20">
        <f t="shared" ca="1" si="3"/>
        <v>132</v>
      </c>
      <c r="H20" t="s">
        <v>14</v>
      </c>
      <c r="I20">
        <v>1000</v>
      </c>
    </row>
    <row r="21" spans="1:9" ht="16.5" thickBot="1" x14ac:dyDescent="0.35">
      <c r="A21" t="s">
        <v>0</v>
      </c>
      <c r="B21" s="1">
        <v>46235</v>
      </c>
      <c r="C21" s="8">
        <v>0.89</v>
      </c>
      <c r="D21" s="8">
        <v>2.09</v>
      </c>
      <c r="E21" s="7">
        <f t="shared" si="2"/>
        <v>2.98</v>
      </c>
      <c r="F21" s="10">
        <v>8.5000000000000006E-2</v>
      </c>
      <c r="G21">
        <f t="shared" ca="1" si="3"/>
        <v>224</v>
      </c>
      <c r="H21" t="s">
        <v>14</v>
      </c>
      <c r="I21">
        <v>1000</v>
      </c>
    </row>
    <row r="22" spans="1:9" ht="16.5" thickBot="1" x14ac:dyDescent="0.35">
      <c r="A22" t="s">
        <v>0</v>
      </c>
      <c r="B22" s="1">
        <v>46327</v>
      </c>
      <c r="C22" s="8">
        <v>0</v>
      </c>
      <c r="D22" s="8">
        <v>2.0699999999999998</v>
      </c>
      <c r="E22" s="7">
        <f t="shared" si="2"/>
        <v>2.0699999999999998</v>
      </c>
      <c r="F22" s="10">
        <v>8.5000000000000006E-2</v>
      </c>
      <c r="G22">
        <f t="shared" ca="1" si="3"/>
        <v>316</v>
      </c>
      <c r="H22" t="s">
        <v>14</v>
      </c>
      <c r="I22">
        <v>1000</v>
      </c>
    </row>
    <row r="23" spans="1:9" ht="16.5" thickBot="1" x14ac:dyDescent="0.35">
      <c r="A23" t="s">
        <v>0</v>
      </c>
      <c r="B23" s="1">
        <v>46419</v>
      </c>
      <c r="C23" s="8">
        <v>4.78</v>
      </c>
      <c r="D23" s="8">
        <v>2.0699999999999998</v>
      </c>
      <c r="E23" s="7">
        <f t="shared" si="2"/>
        <v>6.85</v>
      </c>
      <c r="F23" s="10">
        <v>8.5000000000000006E-2</v>
      </c>
      <c r="G23">
        <f t="shared" ca="1" si="3"/>
        <v>408</v>
      </c>
      <c r="H23" t="s">
        <v>14</v>
      </c>
      <c r="I23">
        <v>1000</v>
      </c>
    </row>
    <row r="24" spans="1:9" ht="16.5" thickBot="1" x14ac:dyDescent="0.35">
      <c r="A24" t="s">
        <v>0</v>
      </c>
      <c r="B24" s="1">
        <v>46508</v>
      </c>
      <c r="C24" s="8">
        <v>2.73</v>
      </c>
      <c r="D24" s="8">
        <v>1.97</v>
      </c>
      <c r="E24" s="7">
        <f t="shared" si="2"/>
        <v>4.7</v>
      </c>
      <c r="F24" s="10">
        <v>8.5000000000000006E-2</v>
      </c>
      <c r="G24">
        <f t="shared" ca="1" si="3"/>
        <v>497</v>
      </c>
      <c r="H24" t="s">
        <v>14</v>
      </c>
      <c r="I24">
        <v>1000</v>
      </c>
    </row>
    <row r="25" spans="1:9" ht="16.5" thickBot="1" x14ac:dyDescent="0.35">
      <c r="A25" t="s">
        <v>0</v>
      </c>
      <c r="B25" s="1">
        <v>46600</v>
      </c>
      <c r="C25" s="8">
        <v>4.2300000000000004</v>
      </c>
      <c r="D25" s="8">
        <v>1.91</v>
      </c>
      <c r="E25" s="7">
        <f t="shared" si="2"/>
        <v>6.1400000000000006</v>
      </c>
      <c r="F25" s="10">
        <v>8.5000000000000006E-2</v>
      </c>
      <c r="G25">
        <f t="shared" ca="1" si="3"/>
        <v>589</v>
      </c>
      <c r="H25" t="s">
        <v>14</v>
      </c>
      <c r="I25">
        <v>1000</v>
      </c>
    </row>
    <row r="26" spans="1:9" ht="16.5" thickBot="1" x14ac:dyDescent="0.35">
      <c r="A26" t="s">
        <v>0</v>
      </c>
      <c r="B26" s="1">
        <v>46692</v>
      </c>
      <c r="C26" s="8">
        <v>3.29</v>
      </c>
      <c r="D26" s="8">
        <v>1.82</v>
      </c>
      <c r="E26" s="7">
        <f t="shared" si="2"/>
        <v>5.1100000000000003</v>
      </c>
      <c r="F26" s="10">
        <v>8.5000000000000006E-2</v>
      </c>
      <c r="G26">
        <f t="shared" ca="1" si="3"/>
        <v>681</v>
      </c>
      <c r="H26" t="s">
        <v>14</v>
      </c>
      <c r="I26">
        <v>1000</v>
      </c>
    </row>
    <row r="27" spans="1:9" ht="16.5" thickBot="1" x14ac:dyDescent="0.35">
      <c r="A27" t="s">
        <v>0</v>
      </c>
      <c r="B27" s="1">
        <v>46784</v>
      </c>
      <c r="C27" s="8">
        <v>5.64</v>
      </c>
      <c r="D27" s="8">
        <v>1.75</v>
      </c>
      <c r="E27" s="7">
        <f t="shared" si="2"/>
        <v>7.39</v>
      </c>
      <c r="F27" s="10">
        <v>8.5000000000000006E-2</v>
      </c>
      <c r="G27">
        <f t="shared" ca="1" si="3"/>
        <v>773</v>
      </c>
      <c r="H27" t="s">
        <v>14</v>
      </c>
      <c r="I27">
        <v>1000</v>
      </c>
    </row>
    <row r="28" spans="1:9" ht="16.5" thickBot="1" x14ac:dyDescent="0.35">
      <c r="A28" t="s">
        <v>0</v>
      </c>
      <c r="B28" s="1">
        <v>46874</v>
      </c>
      <c r="C28" s="8">
        <v>3.49</v>
      </c>
      <c r="D28" s="8">
        <v>1.63</v>
      </c>
      <c r="E28" s="7">
        <f t="shared" si="2"/>
        <v>5.12</v>
      </c>
      <c r="F28" s="10">
        <v>8.5000000000000006E-2</v>
      </c>
      <c r="G28">
        <f t="shared" ca="1" si="3"/>
        <v>863</v>
      </c>
      <c r="H28" t="s">
        <v>14</v>
      </c>
      <c r="I28">
        <v>1000</v>
      </c>
    </row>
    <row r="29" spans="1:9" ht="16.5" thickBot="1" x14ac:dyDescent="0.35">
      <c r="A29" t="s">
        <v>0</v>
      </c>
      <c r="B29" s="1">
        <v>46966</v>
      </c>
      <c r="C29" s="8">
        <v>0</v>
      </c>
      <c r="D29" s="8">
        <v>1.56</v>
      </c>
      <c r="E29" s="7">
        <f t="shared" si="2"/>
        <v>1.56</v>
      </c>
      <c r="F29" s="10">
        <v>8.5000000000000006E-2</v>
      </c>
      <c r="G29">
        <f t="shared" ca="1" si="3"/>
        <v>955</v>
      </c>
      <c r="H29" t="s">
        <v>14</v>
      </c>
      <c r="I29">
        <v>1000</v>
      </c>
    </row>
    <row r="30" spans="1:9" ht="16.5" thickBot="1" x14ac:dyDescent="0.35">
      <c r="A30" t="s">
        <v>0</v>
      </c>
      <c r="B30" s="1">
        <v>47058</v>
      </c>
      <c r="C30" s="8">
        <v>5.0599999999999996</v>
      </c>
      <c r="D30" s="8">
        <v>1.56</v>
      </c>
      <c r="E30" s="7">
        <f t="shared" si="2"/>
        <v>6.6199999999999992</v>
      </c>
      <c r="F30" s="10">
        <v>8.5000000000000006E-2</v>
      </c>
      <c r="G30">
        <f t="shared" ca="1" si="3"/>
        <v>1047</v>
      </c>
      <c r="H30" t="s">
        <v>14</v>
      </c>
      <c r="I30">
        <v>1000</v>
      </c>
    </row>
    <row r="31" spans="1:9" ht="16.5" thickBot="1" x14ac:dyDescent="0.35">
      <c r="A31" t="s">
        <v>0</v>
      </c>
      <c r="B31" s="1">
        <v>47150</v>
      </c>
      <c r="C31" s="8">
        <v>7.11</v>
      </c>
      <c r="D31" s="8">
        <v>1.45</v>
      </c>
      <c r="E31" s="7">
        <f t="shared" si="2"/>
        <v>8.56</v>
      </c>
      <c r="F31" s="10">
        <v>8.5000000000000006E-2</v>
      </c>
      <c r="G31">
        <f t="shared" ca="1" si="3"/>
        <v>1139</v>
      </c>
      <c r="H31" t="s">
        <v>14</v>
      </c>
      <c r="I31">
        <v>1000</v>
      </c>
    </row>
    <row r="32" spans="1:9" ht="16.5" thickBot="1" x14ac:dyDescent="0.35">
      <c r="A32" t="s">
        <v>0</v>
      </c>
      <c r="B32" s="1">
        <v>47239</v>
      </c>
      <c r="C32" s="8">
        <v>4.96</v>
      </c>
      <c r="D32" s="8">
        <v>1.3</v>
      </c>
      <c r="E32" s="7">
        <f t="shared" si="2"/>
        <v>6.26</v>
      </c>
      <c r="F32" s="10">
        <v>8.5000000000000006E-2</v>
      </c>
      <c r="G32">
        <f t="shared" ca="1" si="3"/>
        <v>1228</v>
      </c>
      <c r="H32" t="s">
        <v>14</v>
      </c>
      <c r="I32">
        <v>1000</v>
      </c>
    </row>
    <row r="33" spans="1:9" ht="16.5" thickBot="1" x14ac:dyDescent="0.35">
      <c r="A33" t="s">
        <v>0</v>
      </c>
      <c r="B33" s="1">
        <v>47331</v>
      </c>
      <c r="C33" s="8">
        <v>6.58</v>
      </c>
      <c r="D33" s="8">
        <v>1.2</v>
      </c>
      <c r="E33" s="7">
        <f t="shared" si="2"/>
        <v>7.78</v>
      </c>
      <c r="F33" s="10">
        <v>8.5000000000000006E-2</v>
      </c>
      <c r="G33">
        <f t="shared" ca="1" si="3"/>
        <v>1320</v>
      </c>
      <c r="H33" t="s">
        <v>14</v>
      </c>
      <c r="I33">
        <v>1000</v>
      </c>
    </row>
    <row r="34" spans="1:9" ht="16.5" thickBot="1" x14ac:dyDescent="0.35">
      <c r="A34" t="s">
        <v>0</v>
      </c>
      <c r="B34" s="1">
        <v>47423</v>
      </c>
      <c r="C34" s="8">
        <v>5.59</v>
      </c>
      <c r="D34" s="8">
        <v>1.06</v>
      </c>
      <c r="E34" s="7">
        <f t="shared" si="2"/>
        <v>6.65</v>
      </c>
      <c r="F34" s="10">
        <v>8.5000000000000006E-2</v>
      </c>
      <c r="G34">
        <f t="shared" ca="1" si="3"/>
        <v>1412</v>
      </c>
      <c r="H34" t="s">
        <v>14</v>
      </c>
      <c r="I34">
        <v>1000</v>
      </c>
    </row>
    <row r="35" spans="1:9" ht="16.5" thickBot="1" x14ac:dyDescent="0.35">
      <c r="A35" t="s">
        <v>0</v>
      </c>
      <c r="B35" s="1">
        <v>47515</v>
      </c>
      <c r="C35" s="8">
        <v>7.38</v>
      </c>
      <c r="D35" s="8">
        <v>0.94</v>
      </c>
      <c r="E35" s="7">
        <f t="shared" si="2"/>
        <v>8.32</v>
      </c>
      <c r="F35" s="10">
        <v>8.5000000000000006E-2</v>
      </c>
      <c r="G35">
        <f t="shared" ca="1" si="3"/>
        <v>1504</v>
      </c>
      <c r="H35" t="s">
        <v>14</v>
      </c>
      <c r="I35">
        <v>1000</v>
      </c>
    </row>
    <row r="36" spans="1:9" ht="16.5" thickBot="1" x14ac:dyDescent="0.35">
      <c r="A36" t="s">
        <v>0</v>
      </c>
      <c r="B36" s="1">
        <v>47604</v>
      </c>
      <c r="C36" s="8">
        <v>5.27</v>
      </c>
      <c r="D36" s="8">
        <v>0.78</v>
      </c>
      <c r="E36" s="7">
        <f t="shared" si="2"/>
        <v>6.05</v>
      </c>
      <c r="F36" s="10">
        <v>8.5000000000000006E-2</v>
      </c>
      <c r="G36">
        <f t="shared" ca="1" si="3"/>
        <v>1593</v>
      </c>
      <c r="H36" t="s">
        <v>14</v>
      </c>
      <c r="I36">
        <v>1000</v>
      </c>
    </row>
    <row r="37" spans="1:9" ht="16.5" thickBot="1" x14ac:dyDescent="0.35">
      <c r="A37" t="s">
        <v>0</v>
      </c>
      <c r="B37" s="1">
        <v>47696</v>
      </c>
      <c r="C37" s="8">
        <v>6.88</v>
      </c>
      <c r="D37" s="8">
        <v>0.67</v>
      </c>
      <c r="E37" s="7">
        <f t="shared" si="2"/>
        <v>7.55</v>
      </c>
      <c r="F37" s="10">
        <v>8.5000000000000006E-2</v>
      </c>
      <c r="G37">
        <f t="shared" ca="1" si="3"/>
        <v>1685</v>
      </c>
      <c r="H37" t="s">
        <v>14</v>
      </c>
      <c r="I37">
        <v>1000</v>
      </c>
    </row>
    <row r="38" spans="1:9" ht="16.5" thickBot="1" x14ac:dyDescent="0.35">
      <c r="A38" t="s">
        <v>0</v>
      </c>
      <c r="B38" s="1">
        <v>47788</v>
      </c>
      <c r="C38" s="8">
        <v>5.91</v>
      </c>
      <c r="D38" s="8">
        <v>0.52</v>
      </c>
      <c r="E38" s="7">
        <f t="shared" si="2"/>
        <v>6.43</v>
      </c>
      <c r="F38" s="10">
        <v>8.5000000000000006E-2</v>
      </c>
      <c r="G38">
        <f t="shared" ca="1" si="3"/>
        <v>1777</v>
      </c>
      <c r="H38" t="s">
        <v>14</v>
      </c>
      <c r="I38">
        <v>1000</v>
      </c>
    </row>
    <row r="39" spans="1:9" ht="16.5" thickBot="1" x14ac:dyDescent="0.35">
      <c r="A39" t="s">
        <v>0</v>
      </c>
      <c r="B39" s="1">
        <v>47880</v>
      </c>
      <c r="C39" s="8">
        <v>8.11</v>
      </c>
      <c r="D39" s="8">
        <v>0.4</v>
      </c>
      <c r="E39" s="7">
        <f t="shared" si="2"/>
        <v>8.51</v>
      </c>
      <c r="F39" s="10">
        <v>8.5000000000000006E-2</v>
      </c>
      <c r="G39">
        <f t="shared" ca="1" si="3"/>
        <v>1869</v>
      </c>
      <c r="H39" t="s">
        <v>14</v>
      </c>
      <c r="I39">
        <v>1000</v>
      </c>
    </row>
    <row r="40" spans="1:9" ht="16.5" thickBot="1" x14ac:dyDescent="0.35">
      <c r="A40" t="s">
        <v>0</v>
      </c>
      <c r="B40" s="1">
        <v>47969</v>
      </c>
      <c r="C40" s="8">
        <v>5.99</v>
      </c>
      <c r="D40" s="8">
        <v>0.22</v>
      </c>
      <c r="E40" s="7">
        <f t="shared" si="2"/>
        <v>6.21</v>
      </c>
      <c r="F40" s="10">
        <v>8.5000000000000006E-2</v>
      </c>
      <c r="G40">
        <f t="shared" ca="1" si="3"/>
        <v>1958</v>
      </c>
      <c r="H40" t="s">
        <v>14</v>
      </c>
      <c r="I40">
        <v>1000</v>
      </c>
    </row>
    <row r="41" spans="1:9" ht="15.75" x14ac:dyDescent="0.3">
      <c r="A41" t="s">
        <v>0</v>
      </c>
      <c r="B41" s="1">
        <v>48061</v>
      </c>
      <c r="C41" s="8">
        <v>4.58</v>
      </c>
      <c r="D41" s="8">
        <v>0.1</v>
      </c>
      <c r="E41" s="7">
        <f t="shared" si="2"/>
        <v>4.68</v>
      </c>
      <c r="F41" s="10">
        <v>8.5000000000000006E-2</v>
      </c>
      <c r="G41">
        <f t="shared" ca="1" si="3"/>
        <v>2050</v>
      </c>
      <c r="H41" t="s">
        <v>14</v>
      </c>
      <c r="I41">
        <v>1000</v>
      </c>
    </row>
    <row r="42" spans="1:9" ht="15.75" x14ac:dyDescent="0.3">
      <c r="A42" t="s">
        <v>4</v>
      </c>
      <c r="B42" s="2">
        <v>45831</v>
      </c>
      <c r="C42" s="13">
        <v>0</v>
      </c>
      <c r="D42" s="13">
        <v>0</v>
      </c>
      <c r="E42" s="7">
        <f t="shared" si="2"/>
        <v>0</v>
      </c>
      <c r="F42" s="11">
        <v>0.08</v>
      </c>
      <c r="G42">
        <f t="shared" ref="G42:G105" ca="1" si="4">B42-$Q$1</f>
        <v>-180</v>
      </c>
      <c r="H42" t="s">
        <v>14</v>
      </c>
      <c r="I42">
        <v>1000</v>
      </c>
    </row>
    <row r="43" spans="1:9" ht="16.5" thickBot="1" x14ac:dyDescent="0.35">
      <c r="A43" t="s">
        <v>4</v>
      </c>
      <c r="B43" s="2">
        <v>46014</v>
      </c>
      <c r="C43" s="7">
        <v>0</v>
      </c>
      <c r="D43" s="7">
        <v>4</v>
      </c>
      <c r="E43" s="7">
        <f t="shared" ref="E43:E106" si="5">C43+D43</f>
        <v>4</v>
      </c>
      <c r="F43" s="11">
        <v>0.08</v>
      </c>
      <c r="G43">
        <f t="shared" ca="1" si="4"/>
        <v>3</v>
      </c>
      <c r="H43" t="s">
        <v>14</v>
      </c>
      <c r="I43">
        <v>1000</v>
      </c>
    </row>
    <row r="44" spans="1:9" ht="16.5" thickBot="1" x14ac:dyDescent="0.35">
      <c r="A44" t="s">
        <v>4</v>
      </c>
      <c r="B44" s="1">
        <v>46196</v>
      </c>
      <c r="C44" s="8">
        <v>0</v>
      </c>
      <c r="D44" s="8">
        <v>4</v>
      </c>
      <c r="E44" s="7">
        <f t="shared" si="5"/>
        <v>4</v>
      </c>
      <c r="F44" s="11">
        <v>0.08</v>
      </c>
      <c r="G44">
        <f t="shared" ca="1" si="4"/>
        <v>185</v>
      </c>
      <c r="H44" t="s">
        <v>14</v>
      </c>
      <c r="I44">
        <v>1000</v>
      </c>
    </row>
    <row r="45" spans="1:9" ht="16.5" thickBot="1" x14ac:dyDescent="0.35">
      <c r="A45" t="s">
        <v>4</v>
      </c>
      <c r="B45" s="1">
        <v>46379</v>
      </c>
      <c r="C45" s="8">
        <v>0</v>
      </c>
      <c r="D45" s="8">
        <v>4</v>
      </c>
      <c r="E45" s="7">
        <f t="shared" si="5"/>
        <v>4</v>
      </c>
      <c r="F45" s="11">
        <v>0.08</v>
      </c>
      <c r="G45">
        <f t="shared" ca="1" si="4"/>
        <v>368</v>
      </c>
      <c r="H45" t="s">
        <v>14</v>
      </c>
      <c r="I45">
        <v>1000</v>
      </c>
    </row>
    <row r="46" spans="1:9" ht="16.5" thickBot="1" x14ac:dyDescent="0.35">
      <c r="A46" t="s">
        <v>4</v>
      </c>
      <c r="B46" s="1">
        <v>46561</v>
      </c>
      <c r="C46" s="8">
        <v>0</v>
      </c>
      <c r="D46" s="8">
        <v>4</v>
      </c>
      <c r="E46" s="7">
        <f t="shared" si="5"/>
        <v>4</v>
      </c>
      <c r="F46" s="11">
        <v>0.08</v>
      </c>
      <c r="G46">
        <f t="shared" ca="1" si="4"/>
        <v>550</v>
      </c>
      <c r="H46" t="s">
        <v>14</v>
      </c>
      <c r="I46">
        <v>1000</v>
      </c>
    </row>
    <row r="47" spans="1:9" ht="16.5" thickBot="1" x14ac:dyDescent="0.35">
      <c r="A47" t="s">
        <v>4</v>
      </c>
      <c r="B47" s="1">
        <v>46744</v>
      </c>
      <c r="C47" s="8">
        <v>0</v>
      </c>
      <c r="D47" s="8">
        <v>4</v>
      </c>
      <c r="E47" s="7">
        <f t="shared" si="5"/>
        <v>4</v>
      </c>
      <c r="F47" s="11">
        <v>0.08</v>
      </c>
      <c r="G47">
        <f t="shared" ca="1" si="4"/>
        <v>733</v>
      </c>
      <c r="H47" t="s">
        <v>14</v>
      </c>
      <c r="I47">
        <v>1000</v>
      </c>
    </row>
    <row r="48" spans="1:9" ht="16.5" thickBot="1" x14ac:dyDescent="0.35">
      <c r="A48" t="s">
        <v>4</v>
      </c>
      <c r="B48" s="1">
        <v>46927</v>
      </c>
      <c r="C48" s="8">
        <v>0</v>
      </c>
      <c r="D48" s="8">
        <v>4</v>
      </c>
      <c r="E48" s="7">
        <f t="shared" si="5"/>
        <v>4</v>
      </c>
      <c r="F48" s="11">
        <v>0.08</v>
      </c>
      <c r="G48">
        <f t="shared" ca="1" si="4"/>
        <v>916</v>
      </c>
      <c r="H48" t="s">
        <v>14</v>
      </c>
      <c r="I48">
        <v>1000</v>
      </c>
    </row>
    <row r="49" spans="1:9" ht="16.5" thickBot="1" x14ac:dyDescent="0.35">
      <c r="A49" t="s">
        <v>4</v>
      </c>
      <c r="B49" s="1">
        <v>47113</v>
      </c>
      <c r="C49" s="8">
        <v>0</v>
      </c>
      <c r="D49" s="8">
        <v>4.07</v>
      </c>
      <c r="E49" s="7">
        <f t="shared" si="5"/>
        <v>4.07</v>
      </c>
      <c r="F49" s="11">
        <v>0.08</v>
      </c>
      <c r="G49">
        <f t="shared" ca="1" si="4"/>
        <v>1102</v>
      </c>
      <c r="H49" t="s">
        <v>14</v>
      </c>
      <c r="I49">
        <v>1000</v>
      </c>
    </row>
    <row r="50" spans="1:9" ht="16.5" thickBot="1" x14ac:dyDescent="0.35">
      <c r="A50" t="s">
        <v>4</v>
      </c>
      <c r="B50" s="1">
        <v>47294</v>
      </c>
      <c r="C50" s="8">
        <v>100</v>
      </c>
      <c r="D50" s="9">
        <v>3.98</v>
      </c>
      <c r="E50" s="7">
        <f t="shared" si="5"/>
        <v>103.98</v>
      </c>
      <c r="F50" s="11">
        <v>0.08</v>
      </c>
      <c r="G50">
        <f t="shared" ca="1" si="4"/>
        <v>1283</v>
      </c>
      <c r="H50" t="s">
        <v>14</v>
      </c>
      <c r="I50">
        <v>1000</v>
      </c>
    </row>
    <row r="51" spans="1:9" ht="17.25" thickTop="1" thickBot="1" x14ac:dyDescent="0.35">
      <c r="A51" t="s">
        <v>5</v>
      </c>
      <c r="B51" s="1">
        <v>45575</v>
      </c>
      <c r="C51" s="7">
        <v>0</v>
      </c>
      <c r="D51" s="7">
        <v>0</v>
      </c>
      <c r="E51" s="7">
        <f t="shared" si="5"/>
        <v>0</v>
      </c>
      <c r="F51" s="10">
        <v>7.7499999999999999E-2</v>
      </c>
      <c r="G51">
        <f t="shared" ca="1" si="4"/>
        <v>-436</v>
      </c>
      <c r="H51" t="s">
        <v>14</v>
      </c>
      <c r="I51">
        <v>2000</v>
      </c>
    </row>
    <row r="52" spans="1:9" ht="16.5" thickBot="1" x14ac:dyDescent="0.35">
      <c r="A52" t="s">
        <v>5</v>
      </c>
      <c r="B52" s="1">
        <v>45757</v>
      </c>
      <c r="C52" s="8">
        <v>0</v>
      </c>
      <c r="D52" s="8">
        <v>3.88</v>
      </c>
      <c r="E52" s="7">
        <f t="shared" si="5"/>
        <v>3.88</v>
      </c>
      <c r="F52" s="10">
        <v>7.7499999999999999E-2</v>
      </c>
      <c r="G52">
        <f t="shared" ca="1" si="4"/>
        <v>-254</v>
      </c>
      <c r="H52" t="s">
        <v>14</v>
      </c>
      <c r="I52">
        <v>2000</v>
      </c>
    </row>
    <row r="53" spans="1:9" ht="15.75" x14ac:dyDescent="0.3">
      <c r="A53" t="s">
        <v>5</v>
      </c>
      <c r="B53" s="1">
        <v>45940</v>
      </c>
      <c r="C53" s="8">
        <v>0</v>
      </c>
      <c r="D53" s="8">
        <v>3.88</v>
      </c>
      <c r="E53" s="7">
        <f t="shared" si="5"/>
        <v>3.88</v>
      </c>
      <c r="F53" s="10">
        <v>7.7499999999999999E-2</v>
      </c>
      <c r="G53">
        <f t="shared" ca="1" si="4"/>
        <v>-71</v>
      </c>
      <c r="H53" t="s">
        <v>14</v>
      </c>
      <c r="I53">
        <v>2000</v>
      </c>
    </row>
    <row r="54" spans="1:9" ht="16.5" thickBot="1" x14ac:dyDescent="0.35">
      <c r="A54" t="s">
        <v>5</v>
      </c>
      <c r="B54" s="2">
        <v>46122</v>
      </c>
      <c r="C54" s="7">
        <v>0</v>
      </c>
      <c r="D54" s="7">
        <v>3.88</v>
      </c>
      <c r="E54" s="7">
        <f t="shared" si="5"/>
        <v>3.88</v>
      </c>
      <c r="F54" s="10">
        <v>7.7499999999999999E-2</v>
      </c>
      <c r="G54">
        <f t="shared" ca="1" si="4"/>
        <v>111</v>
      </c>
      <c r="H54" t="s">
        <v>14</v>
      </c>
      <c r="I54">
        <v>2000</v>
      </c>
    </row>
    <row r="55" spans="1:9" ht="16.5" thickBot="1" x14ac:dyDescent="0.35">
      <c r="A55" t="s">
        <v>5</v>
      </c>
      <c r="B55" s="1">
        <v>46305</v>
      </c>
      <c r="C55" s="8">
        <v>0</v>
      </c>
      <c r="D55" s="8">
        <v>3.88</v>
      </c>
      <c r="E55" s="7">
        <f t="shared" si="5"/>
        <v>3.88</v>
      </c>
      <c r="F55" s="10">
        <v>7.7499999999999999E-2</v>
      </c>
      <c r="G55">
        <f t="shared" ca="1" si="4"/>
        <v>294</v>
      </c>
      <c r="H55" t="s">
        <v>14</v>
      </c>
      <c r="I55">
        <v>2000</v>
      </c>
    </row>
    <row r="56" spans="1:9" ht="16.5" thickBot="1" x14ac:dyDescent="0.35">
      <c r="A56" t="s">
        <v>5</v>
      </c>
      <c r="B56" s="1">
        <v>46487</v>
      </c>
      <c r="C56" s="8">
        <v>0</v>
      </c>
      <c r="D56" s="8">
        <v>3.88</v>
      </c>
      <c r="E56" s="7">
        <f t="shared" si="5"/>
        <v>3.88</v>
      </c>
      <c r="F56" s="10">
        <v>7.7499999999999999E-2</v>
      </c>
      <c r="G56">
        <f t="shared" ca="1" si="4"/>
        <v>476</v>
      </c>
      <c r="H56" t="s">
        <v>14</v>
      </c>
      <c r="I56">
        <v>2000</v>
      </c>
    </row>
    <row r="57" spans="1:9" ht="16.5" thickBot="1" x14ac:dyDescent="0.35">
      <c r="A57" t="s">
        <v>5</v>
      </c>
      <c r="B57" s="1">
        <v>46670</v>
      </c>
      <c r="C57" s="8">
        <v>0</v>
      </c>
      <c r="D57" s="8">
        <v>3.88</v>
      </c>
      <c r="E57" s="7">
        <f t="shared" si="5"/>
        <v>3.88</v>
      </c>
      <c r="F57" s="10">
        <v>7.7499999999999999E-2</v>
      </c>
      <c r="G57">
        <f t="shared" ca="1" si="4"/>
        <v>659</v>
      </c>
      <c r="H57" t="s">
        <v>14</v>
      </c>
      <c r="I57">
        <v>2000</v>
      </c>
    </row>
    <row r="58" spans="1:9" ht="16.5" thickBot="1" x14ac:dyDescent="0.35">
      <c r="A58" t="s">
        <v>5</v>
      </c>
      <c r="B58" s="1">
        <v>46853</v>
      </c>
      <c r="C58" s="8">
        <v>0</v>
      </c>
      <c r="D58" s="8">
        <v>3.88</v>
      </c>
      <c r="E58" s="7">
        <f t="shared" si="5"/>
        <v>3.88</v>
      </c>
      <c r="F58" s="10">
        <v>7.7499999999999999E-2</v>
      </c>
      <c r="G58">
        <f t="shared" ca="1" si="4"/>
        <v>842</v>
      </c>
      <c r="H58" t="s">
        <v>14</v>
      </c>
      <c r="I58">
        <v>2000</v>
      </c>
    </row>
    <row r="59" spans="1:9" ht="16.5" thickBot="1" x14ac:dyDescent="0.35">
      <c r="A59" t="s">
        <v>5</v>
      </c>
      <c r="B59" s="1">
        <v>47036</v>
      </c>
      <c r="C59" s="8">
        <v>100</v>
      </c>
      <c r="D59" s="8">
        <v>3.88</v>
      </c>
      <c r="E59" s="7">
        <f t="shared" si="5"/>
        <v>103.88</v>
      </c>
      <c r="F59" s="10">
        <v>7.7499999999999999E-2</v>
      </c>
      <c r="G59">
        <f t="shared" ca="1" si="4"/>
        <v>1025</v>
      </c>
      <c r="H59" t="s">
        <v>14</v>
      </c>
      <c r="I59">
        <v>2000</v>
      </c>
    </row>
    <row r="60" spans="1:9" ht="16.5" thickBot="1" x14ac:dyDescent="0.35">
      <c r="A60" t="s">
        <v>6</v>
      </c>
      <c r="B60" s="1">
        <v>45163</v>
      </c>
      <c r="C60" s="7">
        <v>0</v>
      </c>
      <c r="D60" s="7">
        <v>0</v>
      </c>
      <c r="E60" s="7">
        <f t="shared" si="5"/>
        <v>0</v>
      </c>
      <c r="F60" s="10">
        <v>9.2499999999999999E-2</v>
      </c>
      <c r="G60">
        <f t="shared" ca="1" si="4"/>
        <v>-848</v>
      </c>
      <c r="H60" t="s">
        <v>14</v>
      </c>
      <c r="I60">
        <v>1</v>
      </c>
    </row>
    <row r="61" spans="1:9" ht="16.5" thickBot="1" x14ac:dyDescent="0.35">
      <c r="A61" t="s">
        <v>6</v>
      </c>
      <c r="B61" s="1">
        <v>45347</v>
      </c>
      <c r="C61" s="8">
        <v>0</v>
      </c>
      <c r="D61" s="8">
        <v>4.63</v>
      </c>
      <c r="E61" s="7">
        <f t="shared" si="5"/>
        <v>4.63</v>
      </c>
      <c r="F61" s="10">
        <v>9.2499999999999999E-2</v>
      </c>
      <c r="G61">
        <f t="shared" ca="1" si="4"/>
        <v>-664</v>
      </c>
      <c r="H61" t="s">
        <v>14</v>
      </c>
      <c r="I61">
        <v>1</v>
      </c>
    </row>
    <row r="62" spans="1:9" ht="16.5" thickBot="1" x14ac:dyDescent="0.35">
      <c r="A62" t="s">
        <v>6</v>
      </c>
      <c r="B62" s="1">
        <v>45529</v>
      </c>
      <c r="C62" s="8">
        <v>0</v>
      </c>
      <c r="D62" s="8">
        <v>4.63</v>
      </c>
      <c r="E62" s="7">
        <f t="shared" si="5"/>
        <v>4.63</v>
      </c>
      <c r="F62" s="10">
        <v>9.2499999999999999E-2</v>
      </c>
      <c r="G62">
        <f t="shared" ca="1" si="4"/>
        <v>-482</v>
      </c>
      <c r="H62" t="s">
        <v>14</v>
      </c>
      <c r="I62">
        <v>1</v>
      </c>
    </row>
    <row r="63" spans="1:9" ht="16.5" thickBot="1" x14ac:dyDescent="0.35">
      <c r="A63" t="s">
        <v>6</v>
      </c>
      <c r="B63" s="1">
        <v>45713</v>
      </c>
      <c r="C63" s="8">
        <v>12.5</v>
      </c>
      <c r="D63" s="8">
        <v>4.63</v>
      </c>
      <c r="E63" s="7">
        <f t="shared" si="5"/>
        <v>17.13</v>
      </c>
      <c r="F63" s="10">
        <v>9.2499999999999999E-2</v>
      </c>
      <c r="G63">
        <f t="shared" ca="1" si="4"/>
        <v>-298</v>
      </c>
      <c r="H63" t="s">
        <v>14</v>
      </c>
      <c r="I63">
        <v>1</v>
      </c>
    </row>
    <row r="64" spans="1:9" ht="15.75" x14ac:dyDescent="0.3">
      <c r="A64" t="s">
        <v>6</v>
      </c>
      <c r="B64" s="1">
        <v>45894</v>
      </c>
      <c r="C64" s="8">
        <v>12.5</v>
      </c>
      <c r="D64" s="8">
        <v>4.05</v>
      </c>
      <c r="E64" s="7">
        <f t="shared" si="5"/>
        <v>16.55</v>
      </c>
      <c r="F64" s="10">
        <v>9.2499999999999999E-2</v>
      </c>
      <c r="G64">
        <f t="shared" ca="1" si="4"/>
        <v>-117</v>
      </c>
      <c r="H64" t="s">
        <v>14</v>
      </c>
      <c r="I64">
        <v>1</v>
      </c>
    </row>
    <row r="65" spans="1:9" ht="16.5" thickBot="1" x14ac:dyDescent="0.35">
      <c r="A65" t="s">
        <v>6</v>
      </c>
      <c r="B65" s="2">
        <v>46078</v>
      </c>
      <c r="C65" s="7">
        <v>12.5</v>
      </c>
      <c r="D65" s="7">
        <v>3.47</v>
      </c>
      <c r="E65" s="7">
        <f t="shared" si="5"/>
        <v>15.97</v>
      </c>
      <c r="F65" s="10">
        <v>9.2499999999999999E-2</v>
      </c>
      <c r="G65">
        <f t="shared" ca="1" si="4"/>
        <v>67</v>
      </c>
      <c r="H65" t="s">
        <v>14</v>
      </c>
      <c r="I65">
        <v>1</v>
      </c>
    </row>
    <row r="66" spans="1:9" ht="16.5" thickBot="1" x14ac:dyDescent="0.35">
      <c r="A66" t="s">
        <v>6</v>
      </c>
      <c r="B66" s="1">
        <v>46259</v>
      </c>
      <c r="C66" s="8">
        <v>12.5</v>
      </c>
      <c r="D66" s="8">
        <v>2.89</v>
      </c>
      <c r="E66" s="7">
        <f t="shared" si="5"/>
        <v>15.39</v>
      </c>
      <c r="F66" s="10">
        <v>9.2499999999999999E-2</v>
      </c>
      <c r="G66">
        <f t="shared" ca="1" si="4"/>
        <v>248</v>
      </c>
      <c r="H66" t="s">
        <v>14</v>
      </c>
      <c r="I66">
        <v>1</v>
      </c>
    </row>
    <row r="67" spans="1:9" ht="16.5" thickBot="1" x14ac:dyDescent="0.35">
      <c r="A67" t="s">
        <v>6</v>
      </c>
      <c r="B67" s="1">
        <v>46443</v>
      </c>
      <c r="C67" s="8">
        <v>12.5</v>
      </c>
      <c r="D67" s="8">
        <v>2.31</v>
      </c>
      <c r="E67" s="7">
        <f t="shared" si="5"/>
        <v>14.81</v>
      </c>
      <c r="F67" s="10">
        <v>9.2499999999999999E-2</v>
      </c>
      <c r="G67">
        <f t="shared" ca="1" si="4"/>
        <v>432</v>
      </c>
      <c r="H67" t="s">
        <v>14</v>
      </c>
      <c r="I67">
        <v>1</v>
      </c>
    </row>
    <row r="68" spans="1:9" ht="16.5" thickBot="1" x14ac:dyDescent="0.35">
      <c r="A68" t="s">
        <v>6</v>
      </c>
      <c r="B68" s="1">
        <v>46624</v>
      </c>
      <c r="C68" s="8">
        <v>12.5</v>
      </c>
      <c r="D68" s="8">
        <v>1.73</v>
      </c>
      <c r="E68" s="7">
        <f t="shared" si="5"/>
        <v>14.23</v>
      </c>
      <c r="F68" s="10">
        <v>9.2499999999999999E-2</v>
      </c>
      <c r="G68">
        <f t="shared" ca="1" si="4"/>
        <v>613</v>
      </c>
      <c r="H68" t="s">
        <v>14</v>
      </c>
      <c r="I68">
        <v>1</v>
      </c>
    </row>
    <row r="69" spans="1:9" ht="16.5" thickBot="1" x14ac:dyDescent="0.35">
      <c r="A69" t="s">
        <v>6</v>
      </c>
      <c r="B69" s="1">
        <v>46808</v>
      </c>
      <c r="C69" s="8">
        <v>12.5</v>
      </c>
      <c r="D69" s="8">
        <v>1.1599999999999999</v>
      </c>
      <c r="E69" s="7">
        <f t="shared" si="5"/>
        <v>13.66</v>
      </c>
      <c r="F69" s="10">
        <v>9.2499999999999999E-2</v>
      </c>
      <c r="G69">
        <f t="shared" ca="1" si="4"/>
        <v>797</v>
      </c>
      <c r="H69" t="s">
        <v>14</v>
      </c>
      <c r="I69">
        <v>1</v>
      </c>
    </row>
    <row r="70" spans="1:9" ht="16.5" thickBot="1" x14ac:dyDescent="0.35">
      <c r="A70" t="s">
        <v>6</v>
      </c>
      <c r="B70" s="1">
        <v>46990</v>
      </c>
      <c r="C70" s="8">
        <v>12.5</v>
      </c>
      <c r="D70" s="8">
        <v>0.57999999999999996</v>
      </c>
      <c r="E70" s="7">
        <f t="shared" si="5"/>
        <v>13.08</v>
      </c>
      <c r="F70" s="10">
        <v>9.2499999999999999E-2</v>
      </c>
      <c r="G70">
        <f t="shared" ca="1" si="4"/>
        <v>979</v>
      </c>
      <c r="H70" t="s">
        <v>14</v>
      </c>
      <c r="I70">
        <v>1</v>
      </c>
    </row>
    <row r="71" spans="1:9" ht="16.5" thickBot="1" x14ac:dyDescent="0.35">
      <c r="A71" t="s">
        <v>8</v>
      </c>
      <c r="B71" s="1">
        <v>45589</v>
      </c>
      <c r="C71" s="7">
        <v>0</v>
      </c>
      <c r="D71" s="7">
        <v>0</v>
      </c>
      <c r="E71" s="7">
        <f t="shared" si="5"/>
        <v>0</v>
      </c>
      <c r="F71" s="10">
        <v>9.7500000000000003E-2</v>
      </c>
      <c r="G71">
        <f t="shared" ca="1" si="4"/>
        <v>-422</v>
      </c>
      <c r="H71" t="s">
        <v>14</v>
      </c>
      <c r="I71">
        <v>100</v>
      </c>
    </row>
    <row r="72" spans="1:9" ht="16.5" thickBot="1" x14ac:dyDescent="0.35">
      <c r="A72" t="s">
        <v>8</v>
      </c>
      <c r="B72" s="1">
        <v>45771</v>
      </c>
      <c r="C72" s="8">
        <v>0</v>
      </c>
      <c r="D72" s="8">
        <v>4.88</v>
      </c>
      <c r="E72" s="7">
        <f t="shared" si="5"/>
        <v>4.88</v>
      </c>
      <c r="F72" s="10">
        <v>9.7500000000000003E-2</v>
      </c>
      <c r="G72">
        <f t="shared" ca="1" si="4"/>
        <v>-240</v>
      </c>
      <c r="H72" t="s">
        <v>14</v>
      </c>
      <c r="I72">
        <v>100</v>
      </c>
    </row>
    <row r="73" spans="1:9" ht="15.75" x14ac:dyDescent="0.3">
      <c r="A73" t="s">
        <v>8</v>
      </c>
      <c r="B73" s="1">
        <v>45954</v>
      </c>
      <c r="C73" s="8">
        <v>0</v>
      </c>
      <c r="D73" s="8">
        <v>4.88</v>
      </c>
      <c r="E73" s="7">
        <f t="shared" si="5"/>
        <v>4.88</v>
      </c>
      <c r="F73" s="10">
        <v>9.7500000000000003E-2</v>
      </c>
      <c r="G73">
        <f t="shared" ca="1" si="4"/>
        <v>-57</v>
      </c>
      <c r="H73" t="s">
        <v>14</v>
      </c>
      <c r="I73">
        <v>100</v>
      </c>
    </row>
    <row r="74" spans="1:9" ht="16.5" thickBot="1" x14ac:dyDescent="0.35">
      <c r="A74" t="s">
        <v>8</v>
      </c>
      <c r="B74" s="2">
        <v>46136</v>
      </c>
      <c r="C74" s="7">
        <v>0</v>
      </c>
      <c r="D74" s="7">
        <v>4.88</v>
      </c>
      <c r="E74" s="7">
        <f t="shared" si="5"/>
        <v>4.88</v>
      </c>
      <c r="F74" s="10">
        <v>9.7500000000000003E-2</v>
      </c>
      <c r="G74">
        <f t="shared" ca="1" si="4"/>
        <v>125</v>
      </c>
      <c r="H74" t="s">
        <v>14</v>
      </c>
      <c r="I74">
        <v>100</v>
      </c>
    </row>
    <row r="75" spans="1:9" ht="16.5" thickBot="1" x14ac:dyDescent="0.35">
      <c r="A75" t="s">
        <v>8</v>
      </c>
      <c r="B75" s="1">
        <v>46319</v>
      </c>
      <c r="C75" s="8">
        <v>0</v>
      </c>
      <c r="D75" s="8">
        <v>4.88</v>
      </c>
      <c r="E75" s="7">
        <f t="shared" si="5"/>
        <v>4.88</v>
      </c>
      <c r="F75" s="10">
        <v>9.7500000000000003E-2</v>
      </c>
      <c r="G75">
        <f t="shared" ca="1" si="4"/>
        <v>308</v>
      </c>
      <c r="H75" t="s">
        <v>14</v>
      </c>
      <c r="I75">
        <v>100</v>
      </c>
    </row>
    <row r="76" spans="1:9" ht="16.5" thickBot="1" x14ac:dyDescent="0.35">
      <c r="A76" t="s">
        <v>8</v>
      </c>
      <c r="B76" s="1">
        <v>46501</v>
      </c>
      <c r="C76" s="8">
        <v>0</v>
      </c>
      <c r="D76" s="8">
        <v>4.88</v>
      </c>
      <c r="E76" s="7">
        <f t="shared" si="5"/>
        <v>4.88</v>
      </c>
      <c r="F76" s="10">
        <v>9.7500000000000003E-2</v>
      </c>
      <c r="G76">
        <f t="shared" ca="1" si="4"/>
        <v>490</v>
      </c>
      <c r="H76" t="s">
        <v>14</v>
      </c>
      <c r="I76">
        <v>100</v>
      </c>
    </row>
    <row r="77" spans="1:9" ht="16.5" thickBot="1" x14ac:dyDescent="0.35">
      <c r="A77" t="s">
        <v>8</v>
      </c>
      <c r="B77" s="1">
        <v>46684</v>
      </c>
      <c r="C77" s="8">
        <v>0</v>
      </c>
      <c r="D77" s="8">
        <v>4.88</v>
      </c>
      <c r="E77" s="7">
        <f t="shared" si="5"/>
        <v>4.88</v>
      </c>
      <c r="F77" s="10">
        <v>9.7500000000000003E-2</v>
      </c>
      <c r="G77">
        <f t="shared" ca="1" si="4"/>
        <v>673</v>
      </c>
      <c r="H77" t="s">
        <v>14</v>
      </c>
      <c r="I77">
        <v>100</v>
      </c>
    </row>
    <row r="78" spans="1:9" ht="16.5" thickBot="1" x14ac:dyDescent="0.35">
      <c r="A78" t="s">
        <v>8</v>
      </c>
      <c r="B78" s="1">
        <v>46867</v>
      </c>
      <c r="C78" s="8">
        <v>0</v>
      </c>
      <c r="D78" s="8">
        <v>4.88</v>
      </c>
      <c r="E78" s="7">
        <f t="shared" si="5"/>
        <v>4.88</v>
      </c>
      <c r="F78" s="10">
        <v>9.7500000000000003E-2</v>
      </c>
      <c r="G78">
        <f t="shared" ca="1" si="4"/>
        <v>856</v>
      </c>
      <c r="H78" t="s">
        <v>14</v>
      </c>
      <c r="I78">
        <v>100</v>
      </c>
    </row>
    <row r="79" spans="1:9" ht="16.5" thickBot="1" x14ac:dyDescent="0.35">
      <c r="A79" t="s">
        <v>8</v>
      </c>
      <c r="B79" s="1">
        <v>47050</v>
      </c>
      <c r="C79" s="8">
        <v>33.33</v>
      </c>
      <c r="D79" s="8">
        <v>4.88</v>
      </c>
      <c r="E79" s="7">
        <f t="shared" si="5"/>
        <v>38.21</v>
      </c>
      <c r="F79" s="10">
        <v>9.7500000000000003E-2</v>
      </c>
      <c r="G79">
        <f t="shared" ca="1" si="4"/>
        <v>1039</v>
      </c>
      <c r="H79" t="s">
        <v>14</v>
      </c>
      <c r="I79">
        <v>100</v>
      </c>
    </row>
    <row r="80" spans="1:9" ht="16.5" thickBot="1" x14ac:dyDescent="0.35">
      <c r="A80" t="s">
        <v>8</v>
      </c>
      <c r="B80" s="1">
        <v>47232</v>
      </c>
      <c r="C80" s="8">
        <v>0</v>
      </c>
      <c r="D80" s="8">
        <v>3.25</v>
      </c>
      <c r="E80" s="7">
        <f t="shared" si="5"/>
        <v>3.25</v>
      </c>
      <c r="F80" s="10">
        <v>9.7500000000000003E-2</v>
      </c>
      <c r="G80">
        <f t="shared" ca="1" si="4"/>
        <v>1221</v>
      </c>
      <c r="H80" t="s">
        <v>14</v>
      </c>
      <c r="I80">
        <v>100</v>
      </c>
    </row>
    <row r="81" spans="1:9" ht="16.5" thickBot="1" x14ac:dyDescent="0.35">
      <c r="A81" t="s">
        <v>8</v>
      </c>
      <c r="B81" s="1">
        <v>47415</v>
      </c>
      <c r="C81" s="8">
        <v>33.33</v>
      </c>
      <c r="D81" s="8">
        <v>3.25</v>
      </c>
      <c r="E81" s="7">
        <f t="shared" si="5"/>
        <v>36.58</v>
      </c>
      <c r="F81" s="10">
        <v>9.7500000000000003E-2</v>
      </c>
      <c r="G81">
        <f t="shared" ca="1" si="4"/>
        <v>1404</v>
      </c>
      <c r="H81" t="s">
        <v>14</v>
      </c>
      <c r="I81">
        <v>100</v>
      </c>
    </row>
    <row r="82" spans="1:9" ht="16.5" thickBot="1" x14ac:dyDescent="0.35">
      <c r="A82" t="s">
        <v>8</v>
      </c>
      <c r="B82" s="1">
        <v>47597</v>
      </c>
      <c r="C82" s="8">
        <v>0</v>
      </c>
      <c r="D82" s="8">
        <v>1.63</v>
      </c>
      <c r="E82" s="7">
        <f t="shared" si="5"/>
        <v>1.63</v>
      </c>
      <c r="F82" s="10">
        <v>9.7500000000000003E-2</v>
      </c>
      <c r="G82">
        <f t="shared" ca="1" si="4"/>
        <v>1586</v>
      </c>
      <c r="H82" t="s">
        <v>14</v>
      </c>
      <c r="I82">
        <v>100</v>
      </c>
    </row>
    <row r="83" spans="1:9" ht="16.5" thickBot="1" x14ac:dyDescent="0.35">
      <c r="A83" t="s">
        <v>8</v>
      </c>
      <c r="B83" s="1">
        <v>47780</v>
      </c>
      <c r="C83" s="8">
        <v>33.340000000000003</v>
      </c>
      <c r="D83" s="8">
        <v>1.63</v>
      </c>
      <c r="E83" s="7">
        <f t="shared" si="5"/>
        <v>34.970000000000006</v>
      </c>
      <c r="F83" s="10">
        <v>9.7500000000000003E-2</v>
      </c>
      <c r="G83">
        <f t="shared" ca="1" si="4"/>
        <v>1769</v>
      </c>
      <c r="H83" t="s">
        <v>14</v>
      </c>
      <c r="I83">
        <v>100</v>
      </c>
    </row>
    <row r="84" spans="1:9" ht="16.5" thickBot="1" x14ac:dyDescent="0.35">
      <c r="A84" t="s">
        <v>15</v>
      </c>
      <c r="B84" s="1">
        <v>44214</v>
      </c>
      <c r="C84" s="7">
        <v>0</v>
      </c>
      <c r="D84" s="12"/>
      <c r="E84" s="7">
        <f t="shared" si="5"/>
        <v>0</v>
      </c>
      <c r="F84" s="11">
        <v>0.08</v>
      </c>
      <c r="G84">
        <f t="shared" ca="1" si="4"/>
        <v>-1797</v>
      </c>
      <c r="H84" t="s">
        <v>14</v>
      </c>
      <c r="I84">
        <v>1000</v>
      </c>
    </row>
    <row r="85" spans="1:9" ht="16.5" thickBot="1" x14ac:dyDescent="0.35">
      <c r="A85" t="s">
        <v>15</v>
      </c>
      <c r="B85" s="1">
        <v>44395</v>
      </c>
      <c r="C85" s="8">
        <v>0</v>
      </c>
      <c r="D85" s="8">
        <v>4</v>
      </c>
      <c r="E85" s="7">
        <f t="shared" si="5"/>
        <v>4</v>
      </c>
      <c r="F85" s="11">
        <v>0.08</v>
      </c>
      <c r="G85">
        <f t="shared" ca="1" si="4"/>
        <v>-1616</v>
      </c>
      <c r="H85" t="s">
        <v>14</v>
      </c>
      <c r="I85">
        <v>1000</v>
      </c>
    </row>
    <row r="86" spans="1:9" ht="16.5" thickBot="1" x14ac:dyDescent="0.35">
      <c r="A86" t="s">
        <v>15</v>
      </c>
      <c r="B86" s="1">
        <v>44579</v>
      </c>
      <c r="C86" s="8">
        <v>0</v>
      </c>
      <c r="D86" s="8">
        <v>4</v>
      </c>
      <c r="E86" s="7">
        <f t="shared" si="5"/>
        <v>4</v>
      </c>
      <c r="F86" s="11">
        <v>0.08</v>
      </c>
      <c r="G86">
        <f t="shared" ca="1" si="4"/>
        <v>-1432</v>
      </c>
      <c r="H86" t="s">
        <v>14</v>
      </c>
      <c r="I86">
        <v>1000</v>
      </c>
    </row>
    <row r="87" spans="1:9" ht="16.5" thickBot="1" x14ac:dyDescent="0.35">
      <c r="A87" t="s">
        <v>15</v>
      </c>
      <c r="B87" s="1">
        <v>44760</v>
      </c>
      <c r="C87" s="8">
        <v>0</v>
      </c>
      <c r="D87" s="8">
        <v>4</v>
      </c>
      <c r="E87" s="7">
        <f t="shared" si="5"/>
        <v>4</v>
      </c>
      <c r="F87" s="11">
        <v>0.08</v>
      </c>
      <c r="G87">
        <f t="shared" ca="1" si="4"/>
        <v>-1251</v>
      </c>
      <c r="H87" t="s">
        <v>14</v>
      </c>
      <c r="I87">
        <v>1000</v>
      </c>
    </row>
    <row r="88" spans="1:9" ht="16.5" thickBot="1" x14ac:dyDescent="0.35">
      <c r="A88" t="s">
        <v>15</v>
      </c>
      <c r="B88" s="1">
        <v>44944</v>
      </c>
      <c r="C88" s="8">
        <v>0</v>
      </c>
      <c r="D88" s="8">
        <v>4</v>
      </c>
      <c r="E88" s="7">
        <f t="shared" si="5"/>
        <v>4</v>
      </c>
      <c r="F88" s="11">
        <v>0.08</v>
      </c>
      <c r="G88">
        <f t="shared" ca="1" si="4"/>
        <v>-1067</v>
      </c>
      <c r="H88" t="s">
        <v>14</v>
      </c>
      <c r="I88">
        <v>1000</v>
      </c>
    </row>
    <row r="89" spans="1:9" ht="16.5" thickBot="1" x14ac:dyDescent="0.35">
      <c r="A89" t="s">
        <v>15</v>
      </c>
      <c r="B89" s="1">
        <v>45125</v>
      </c>
      <c r="C89" s="8">
        <v>0</v>
      </c>
      <c r="D89" s="8">
        <v>4</v>
      </c>
      <c r="E89" s="7">
        <f t="shared" si="5"/>
        <v>4</v>
      </c>
      <c r="F89" s="11">
        <v>0.08</v>
      </c>
      <c r="G89">
        <f t="shared" ca="1" si="4"/>
        <v>-886</v>
      </c>
      <c r="H89" t="s">
        <v>14</v>
      </c>
      <c r="I89">
        <v>1000</v>
      </c>
    </row>
    <row r="90" spans="1:9" ht="16.5" thickBot="1" x14ac:dyDescent="0.35">
      <c r="A90" t="s">
        <v>15</v>
      </c>
      <c r="B90" s="1">
        <v>45309</v>
      </c>
      <c r="C90" s="8">
        <v>0</v>
      </c>
      <c r="D90" s="8">
        <v>4</v>
      </c>
      <c r="E90" s="7">
        <f t="shared" si="5"/>
        <v>4</v>
      </c>
      <c r="F90" s="11">
        <v>0.08</v>
      </c>
      <c r="G90">
        <f t="shared" ca="1" si="4"/>
        <v>-702</v>
      </c>
      <c r="H90" t="s">
        <v>14</v>
      </c>
      <c r="I90">
        <v>1000</v>
      </c>
    </row>
    <row r="91" spans="1:9" ht="16.5" thickBot="1" x14ac:dyDescent="0.35">
      <c r="A91" t="s">
        <v>15</v>
      </c>
      <c r="B91" s="1">
        <v>45491</v>
      </c>
      <c r="C91" s="8">
        <v>0</v>
      </c>
      <c r="D91" s="8">
        <v>4</v>
      </c>
      <c r="E91" s="7">
        <f t="shared" si="5"/>
        <v>4</v>
      </c>
      <c r="F91" s="11">
        <v>0.08</v>
      </c>
      <c r="G91">
        <f t="shared" ca="1" si="4"/>
        <v>-520</v>
      </c>
      <c r="H91" t="s">
        <v>14</v>
      </c>
      <c r="I91">
        <v>1000</v>
      </c>
    </row>
    <row r="92" spans="1:9" ht="16.5" thickBot="1" x14ac:dyDescent="0.35">
      <c r="A92" t="s">
        <v>15</v>
      </c>
      <c r="B92" s="1">
        <v>45675</v>
      </c>
      <c r="C92" s="8">
        <v>0</v>
      </c>
      <c r="D92" s="8">
        <v>4</v>
      </c>
      <c r="E92" s="7">
        <f t="shared" si="5"/>
        <v>4</v>
      </c>
      <c r="F92" s="11">
        <v>0.08</v>
      </c>
      <c r="G92">
        <f t="shared" ca="1" si="4"/>
        <v>-336</v>
      </c>
      <c r="H92" t="s">
        <v>14</v>
      </c>
      <c r="I92">
        <v>1000</v>
      </c>
    </row>
    <row r="93" spans="1:9" ht="16.5" thickBot="1" x14ac:dyDescent="0.35">
      <c r="A93" t="s">
        <v>15</v>
      </c>
      <c r="B93" s="1">
        <v>45856</v>
      </c>
      <c r="C93" s="8">
        <v>0</v>
      </c>
      <c r="D93" s="8">
        <v>4</v>
      </c>
      <c r="E93" s="7">
        <f t="shared" si="5"/>
        <v>4</v>
      </c>
      <c r="F93" s="11">
        <v>0.08</v>
      </c>
      <c r="G93">
        <f t="shared" ca="1" si="4"/>
        <v>-155</v>
      </c>
      <c r="H93" t="s">
        <v>14</v>
      </c>
      <c r="I93">
        <v>1000</v>
      </c>
    </row>
    <row r="94" spans="1:9" ht="16.5" thickBot="1" x14ac:dyDescent="0.35">
      <c r="A94" t="s">
        <v>15</v>
      </c>
      <c r="B94" s="1">
        <v>46040</v>
      </c>
      <c r="C94" s="8">
        <v>0</v>
      </c>
      <c r="D94" s="8">
        <v>4</v>
      </c>
      <c r="E94" s="7">
        <f t="shared" si="5"/>
        <v>4</v>
      </c>
      <c r="F94" s="11">
        <v>0.08</v>
      </c>
      <c r="G94">
        <f t="shared" ca="1" si="4"/>
        <v>29</v>
      </c>
      <c r="H94" t="s">
        <v>14</v>
      </c>
      <c r="I94">
        <v>1000</v>
      </c>
    </row>
    <row r="95" spans="1:9" ht="16.5" thickBot="1" x14ac:dyDescent="0.35">
      <c r="A95" t="s">
        <v>15</v>
      </c>
      <c r="B95" s="1">
        <v>46221</v>
      </c>
      <c r="C95" s="8">
        <v>100</v>
      </c>
      <c r="D95" s="8">
        <v>4</v>
      </c>
      <c r="E95" s="7">
        <f t="shared" si="5"/>
        <v>104</v>
      </c>
      <c r="F95" s="11">
        <v>0.08</v>
      </c>
      <c r="G95">
        <f t="shared" ca="1" si="4"/>
        <v>210</v>
      </c>
      <c r="H95" t="s">
        <v>14</v>
      </c>
      <c r="I95">
        <v>1000</v>
      </c>
    </row>
    <row r="96" spans="1:9" ht="16.5" thickBot="1" x14ac:dyDescent="0.35">
      <c r="A96" t="s">
        <v>16</v>
      </c>
      <c r="B96" s="1">
        <v>44316</v>
      </c>
      <c r="C96" s="7">
        <v>0</v>
      </c>
      <c r="D96" s="12"/>
      <c r="E96" s="7">
        <f t="shared" si="5"/>
        <v>0</v>
      </c>
      <c r="F96" s="14">
        <v>9.1249999999999998E-2</v>
      </c>
      <c r="G96">
        <f t="shared" ca="1" si="4"/>
        <v>-1695</v>
      </c>
      <c r="H96" t="s">
        <v>14</v>
      </c>
      <c r="I96">
        <v>1000</v>
      </c>
    </row>
    <row r="97" spans="1:9" ht="16.5" thickBot="1" x14ac:dyDescent="0.35">
      <c r="A97" t="s">
        <v>16</v>
      </c>
      <c r="B97" s="1">
        <v>44681</v>
      </c>
      <c r="C97" s="8">
        <v>0</v>
      </c>
      <c r="D97" s="8">
        <v>9.1300000000000008</v>
      </c>
      <c r="E97" s="7">
        <f t="shared" si="5"/>
        <v>9.1300000000000008</v>
      </c>
      <c r="F97" s="14">
        <v>9.1249999999999998E-2</v>
      </c>
      <c r="G97">
        <f t="shared" ca="1" si="4"/>
        <v>-1330</v>
      </c>
      <c r="H97" t="s">
        <v>14</v>
      </c>
      <c r="I97">
        <v>1000</v>
      </c>
    </row>
    <row r="98" spans="1:9" ht="16.5" thickBot="1" x14ac:dyDescent="0.35">
      <c r="A98" t="s">
        <v>16</v>
      </c>
      <c r="B98" s="1">
        <v>44864</v>
      </c>
      <c r="C98" s="8">
        <v>0</v>
      </c>
      <c r="D98" s="8">
        <v>4.5599999999999996</v>
      </c>
      <c r="E98" s="7">
        <f t="shared" si="5"/>
        <v>4.5599999999999996</v>
      </c>
      <c r="F98" s="14">
        <v>9.1249999999999998E-2</v>
      </c>
      <c r="G98">
        <f t="shared" ca="1" si="4"/>
        <v>-1147</v>
      </c>
      <c r="H98" t="s">
        <v>14</v>
      </c>
      <c r="I98">
        <v>1000</v>
      </c>
    </row>
    <row r="99" spans="1:9" ht="16.5" thickBot="1" x14ac:dyDescent="0.35">
      <c r="A99" t="s">
        <v>16</v>
      </c>
      <c r="B99" s="1">
        <v>45046</v>
      </c>
      <c r="C99" s="8">
        <v>0</v>
      </c>
      <c r="D99" s="8">
        <v>4.5599999999999996</v>
      </c>
      <c r="E99" s="7">
        <f t="shared" si="5"/>
        <v>4.5599999999999996</v>
      </c>
      <c r="F99" s="14">
        <v>9.1249999999999998E-2</v>
      </c>
      <c r="G99">
        <f t="shared" ca="1" si="4"/>
        <v>-965</v>
      </c>
      <c r="H99" t="s">
        <v>14</v>
      </c>
      <c r="I99">
        <v>1000</v>
      </c>
    </row>
    <row r="100" spans="1:9" ht="16.5" thickBot="1" x14ac:dyDescent="0.35">
      <c r="A100" t="s">
        <v>16</v>
      </c>
      <c r="B100" s="1">
        <v>45229</v>
      </c>
      <c r="C100" s="8">
        <v>0</v>
      </c>
      <c r="D100" s="8">
        <v>4.5599999999999996</v>
      </c>
      <c r="E100" s="7">
        <f t="shared" si="5"/>
        <v>4.5599999999999996</v>
      </c>
      <c r="F100" s="14">
        <v>9.1249999999999998E-2</v>
      </c>
      <c r="G100">
        <f t="shared" ca="1" si="4"/>
        <v>-782</v>
      </c>
      <c r="H100" t="s">
        <v>14</v>
      </c>
      <c r="I100">
        <v>1000</v>
      </c>
    </row>
    <row r="101" spans="1:9" ht="16.5" thickBot="1" x14ac:dyDescent="0.35">
      <c r="A101" t="s">
        <v>16</v>
      </c>
      <c r="B101" s="1">
        <v>45412</v>
      </c>
      <c r="C101" s="8">
        <v>0</v>
      </c>
      <c r="D101" s="8">
        <v>4.5599999999999996</v>
      </c>
      <c r="E101" s="7">
        <f t="shared" si="5"/>
        <v>4.5599999999999996</v>
      </c>
      <c r="F101" s="14">
        <v>9.1249999999999998E-2</v>
      </c>
      <c r="G101">
        <f t="shared" ca="1" si="4"/>
        <v>-599</v>
      </c>
      <c r="H101" t="s">
        <v>14</v>
      </c>
      <c r="I101">
        <v>1000</v>
      </c>
    </row>
    <row r="102" spans="1:9" ht="16.5" thickBot="1" x14ac:dyDescent="0.35">
      <c r="A102" t="s">
        <v>16</v>
      </c>
      <c r="B102" s="1">
        <v>45595</v>
      </c>
      <c r="C102" s="8">
        <v>0</v>
      </c>
      <c r="D102" s="8">
        <v>4.5599999999999996</v>
      </c>
      <c r="E102" s="7">
        <f t="shared" si="5"/>
        <v>4.5599999999999996</v>
      </c>
      <c r="F102" s="14">
        <v>9.1249999999999998E-2</v>
      </c>
      <c r="G102">
        <f t="shared" ca="1" si="4"/>
        <v>-416</v>
      </c>
      <c r="H102" t="s">
        <v>14</v>
      </c>
      <c r="I102">
        <v>1000</v>
      </c>
    </row>
    <row r="103" spans="1:9" ht="16.5" thickBot="1" x14ac:dyDescent="0.35">
      <c r="A103" t="s">
        <v>16</v>
      </c>
      <c r="B103" s="1">
        <v>45777</v>
      </c>
      <c r="C103" s="8">
        <v>20</v>
      </c>
      <c r="D103" s="8">
        <v>4.5599999999999996</v>
      </c>
      <c r="E103" s="7">
        <f t="shared" si="5"/>
        <v>24.56</v>
      </c>
      <c r="F103" s="14">
        <v>9.1249999999999998E-2</v>
      </c>
      <c r="G103">
        <f t="shared" ca="1" si="4"/>
        <v>-234</v>
      </c>
      <c r="H103" t="s">
        <v>14</v>
      </c>
      <c r="I103">
        <v>1000</v>
      </c>
    </row>
    <row r="104" spans="1:9" ht="16.5" thickBot="1" x14ac:dyDescent="0.35">
      <c r="A104" t="s">
        <v>16</v>
      </c>
      <c r="B104" s="1">
        <v>45960</v>
      </c>
      <c r="C104" s="8">
        <v>20</v>
      </c>
      <c r="D104" s="8">
        <v>3.65</v>
      </c>
      <c r="E104" s="7">
        <f t="shared" si="5"/>
        <v>23.65</v>
      </c>
      <c r="F104" s="14">
        <v>9.1249999999999998E-2</v>
      </c>
      <c r="G104">
        <f t="shared" ca="1" si="4"/>
        <v>-51</v>
      </c>
      <c r="H104" t="s">
        <v>14</v>
      </c>
      <c r="I104">
        <v>1000</v>
      </c>
    </row>
    <row r="105" spans="1:9" ht="16.5" thickBot="1" x14ac:dyDescent="0.35">
      <c r="A105" t="s">
        <v>16</v>
      </c>
      <c r="B105" s="1">
        <v>46142</v>
      </c>
      <c r="C105" s="8">
        <v>20</v>
      </c>
      <c r="D105" s="8">
        <v>2.74</v>
      </c>
      <c r="E105" s="7">
        <f t="shared" si="5"/>
        <v>22.740000000000002</v>
      </c>
      <c r="F105" s="14">
        <v>9.1249999999999998E-2</v>
      </c>
      <c r="G105">
        <f t="shared" ca="1" si="4"/>
        <v>131</v>
      </c>
      <c r="H105" t="s">
        <v>14</v>
      </c>
      <c r="I105">
        <v>1000</v>
      </c>
    </row>
    <row r="106" spans="1:9" ht="16.5" thickBot="1" x14ac:dyDescent="0.35">
      <c r="A106" t="s">
        <v>16</v>
      </c>
      <c r="B106" s="1">
        <v>46325</v>
      </c>
      <c r="C106" s="8">
        <v>20</v>
      </c>
      <c r="D106" s="8">
        <v>1.83</v>
      </c>
      <c r="E106" s="7">
        <f t="shared" si="5"/>
        <v>21.83</v>
      </c>
      <c r="F106" s="14">
        <v>9.1249999999999998E-2</v>
      </c>
      <c r="G106">
        <f t="shared" ref="G106:G169" ca="1" si="6">B106-$Q$1</f>
        <v>314</v>
      </c>
      <c r="H106" t="s">
        <v>14</v>
      </c>
      <c r="I106">
        <v>1000</v>
      </c>
    </row>
    <row r="107" spans="1:9" ht="16.5" thickBot="1" x14ac:dyDescent="0.35">
      <c r="A107" t="s">
        <v>16</v>
      </c>
      <c r="B107" s="1">
        <v>46507</v>
      </c>
      <c r="C107" s="8">
        <v>20</v>
      </c>
      <c r="D107" s="8">
        <v>0.91</v>
      </c>
      <c r="E107" s="7">
        <f t="shared" ref="E107:E170" si="7">C107+D107</f>
        <v>20.91</v>
      </c>
      <c r="F107" s="14">
        <v>9.1249999999999998E-2</v>
      </c>
      <c r="G107">
        <f t="shared" ca="1" si="6"/>
        <v>496</v>
      </c>
      <c r="H107" t="s">
        <v>14</v>
      </c>
      <c r="I107">
        <v>1000</v>
      </c>
    </row>
    <row r="108" spans="1:9" ht="16.5" thickBot="1" x14ac:dyDescent="0.35">
      <c r="A108" t="s">
        <v>17</v>
      </c>
      <c r="B108" s="1">
        <v>45631</v>
      </c>
      <c r="C108" s="7">
        <v>0</v>
      </c>
      <c r="D108" s="12"/>
      <c r="E108" s="7">
        <f t="shared" si="7"/>
        <v>0</v>
      </c>
      <c r="F108" s="14">
        <v>9.7500000000000003E-2</v>
      </c>
      <c r="G108">
        <f t="shared" ca="1" si="6"/>
        <v>-380</v>
      </c>
      <c r="H108" t="s">
        <v>14</v>
      </c>
      <c r="I108">
        <v>1</v>
      </c>
    </row>
    <row r="109" spans="1:9" ht="16.5" thickBot="1" x14ac:dyDescent="0.35">
      <c r="A109" t="s">
        <v>17</v>
      </c>
      <c r="B109" s="1">
        <v>45813</v>
      </c>
      <c r="C109" s="8">
        <v>0</v>
      </c>
      <c r="D109" s="8">
        <v>4.88</v>
      </c>
      <c r="E109" s="7">
        <f t="shared" si="7"/>
        <v>4.88</v>
      </c>
      <c r="F109" s="14">
        <v>9.7500000000000003E-2</v>
      </c>
      <c r="G109">
        <f t="shared" ca="1" si="6"/>
        <v>-198</v>
      </c>
      <c r="H109" t="s">
        <v>14</v>
      </c>
      <c r="I109">
        <v>1</v>
      </c>
    </row>
    <row r="110" spans="1:9" ht="16.5" thickBot="1" x14ac:dyDescent="0.35">
      <c r="A110" t="s">
        <v>17</v>
      </c>
      <c r="B110" s="1">
        <v>45996</v>
      </c>
      <c r="C110" s="8">
        <v>0</v>
      </c>
      <c r="D110" s="8">
        <v>4.88</v>
      </c>
      <c r="E110" s="7">
        <f t="shared" si="7"/>
        <v>4.88</v>
      </c>
      <c r="F110" s="14">
        <v>9.7500000000000003E-2</v>
      </c>
      <c r="G110">
        <f t="shared" ca="1" si="6"/>
        <v>-15</v>
      </c>
      <c r="H110" t="s">
        <v>14</v>
      </c>
      <c r="I110">
        <v>1</v>
      </c>
    </row>
    <row r="111" spans="1:9" ht="16.5" thickBot="1" x14ac:dyDescent="0.35">
      <c r="A111" t="s">
        <v>17</v>
      </c>
      <c r="B111" s="1">
        <v>46178</v>
      </c>
      <c r="C111" s="8">
        <v>0</v>
      </c>
      <c r="D111" s="8">
        <v>4.88</v>
      </c>
      <c r="E111" s="7">
        <f t="shared" si="7"/>
        <v>4.88</v>
      </c>
      <c r="F111" s="14">
        <v>9.7500000000000003E-2</v>
      </c>
      <c r="G111">
        <f t="shared" ca="1" si="6"/>
        <v>167</v>
      </c>
      <c r="H111" t="s">
        <v>14</v>
      </c>
      <c r="I111">
        <v>1</v>
      </c>
    </row>
    <row r="112" spans="1:9" ht="16.5" thickBot="1" x14ac:dyDescent="0.35">
      <c r="A112" t="s">
        <v>17</v>
      </c>
      <c r="B112" s="1">
        <v>46361</v>
      </c>
      <c r="C112" s="8">
        <v>0</v>
      </c>
      <c r="D112" s="8">
        <v>4.88</v>
      </c>
      <c r="E112" s="7">
        <f t="shared" si="7"/>
        <v>4.88</v>
      </c>
      <c r="F112" s="14">
        <v>9.7500000000000003E-2</v>
      </c>
      <c r="G112">
        <f t="shared" ca="1" si="6"/>
        <v>350</v>
      </c>
      <c r="H112" t="s">
        <v>14</v>
      </c>
      <c r="I112">
        <v>1</v>
      </c>
    </row>
    <row r="113" spans="1:9" ht="16.5" thickBot="1" x14ac:dyDescent="0.35">
      <c r="A113" t="s">
        <v>17</v>
      </c>
      <c r="B113" s="1">
        <v>46543</v>
      </c>
      <c r="C113" s="8">
        <v>0</v>
      </c>
      <c r="D113" s="8">
        <v>4.88</v>
      </c>
      <c r="E113" s="7">
        <f t="shared" si="7"/>
        <v>4.88</v>
      </c>
      <c r="F113" s="14">
        <v>9.7500000000000003E-2</v>
      </c>
      <c r="G113">
        <f t="shared" ca="1" si="6"/>
        <v>532</v>
      </c>
      <c r="H113" t="s">
        <v>14</v>
      </c>
      <c r="I113">
        <v>1</v>
      </c>
    </row>
    <row r="114" spans="1:9" ht="16.5" thickBot="1" x14ac:dyDescent="0.35">
      <c r="A114" t="s">
        <v>17</v>
      </c>
      <c r="B114" s="1">
        <v>46726</v>
      </c>
      <c r="C114" s="8">
        <v>0</v>
      </c>
      <c r="D114" s="8">
        <v>4.88</v>
      </c>
      <c r="E114" s="7">
        <f t="shared" si="7"/>
        <v>4.88</v>
      </c>
      <c r="F114" s="14">
        <v>9.7500000000000003E-2</v>
      </c>
      <c r="G114">
        <f t="shared" ca="1" si="6"/>
        <v>715</v>
      </c>
      <c r="H114" t="s">
        <v>14</v>
      </c>
      <c r="I114">
        <v>1</v>
      </c>
    </row>
    <row r="115" spans="1:9" ht="16.5" thickBot="1" x14ac:dyDescent="0.35">
      <c r="A115" t="s">
        <v>17</v>
      </c>
      <c r="B115" s="1">
        <v>46909</v>
      </c>
      <c r="C115" s="8">
        <v>0</v>
      </c>
      <c r="D115" s="8">
        <v>4.88</v>
      </c>
      <c r="E115" s="7">
        <f t="shared" si="7"/>
        <v>4.88</v>
      </c>
      <c r="F115" s="14">
        <v>9.7500000000000003E-2</v>
      </c>
      <c r="G115">
        <f t="shared" ca="1" si="6"/>
        <v>898</v>
      </c>
      <c r="H115" t="s">
        <v>14</v>
      </c>
      <c r="I115">
        <v>1</v>
      </c>
    </row>
    <row r="116" spans="1:9" ht="16.5" thickBot="1" x14ac:dyDescent="0.35">
      <c r="A116" t="s">
        <v>17</v>
      </c>
      <c r="B116" s="1">
        <v>47092</v>
      </c>
      <c r="C116" s="8">
        <v>17.5</v>
      </c>
      <c r="D116" s="8">
        <v>4.88</v>
      </c>
      <c r="E116" s="7">
        <f t="shared" si="7"/>
        <v>22.38</v>
      </c>
      <c r="F116" s="14">
        <v>9.7500000000000003E-2</v>
      </c>
      <c r="G116">
        <f t="shared" ca="1" si="6"/>
        <v>1081</v>
      </c>
      <c r="H116" t="s">
        <v>14</v>
      </c>
      <c r="I116">
        <v>1</v>
      </c>
    </row>
    <row r="117" spans="1:9" ht="16.5" thickBot="1" x14ac:dyDescent="0.35">
      <c r="A117" t="s">
        <v>17</v>
      </c>
      <c r="B117" s="1">
        <v>47274</v>
      </c>
      <c r="C117" s="8">
        <v>0</v>
      </c>
      <c r="D117" s="8">
        <v>4.0199999999999996</v>
      </c>
      <c r="E117" s="7">
        <f t="shared" si="7"/>
        <v>4.0199999999999996</v>
      </c>
      <c r="F117" s="14">
        <v>9.7500000000000003E-2</v>
      </c>
      <c r="G117">
        <f t="shared" ca="1" si="6"/>
        <v>1263</v>
      </c>
      <c r="H117" t="s">
        <v>14</v>
      </c>
      <c r="I117">
        <v>1</v>
      </c>
    </row>
    <row r="118" spans="1:9" ht="16.5" thickBot="1" x14ac:dyDescent="0.35">
      <c r="A118" t="s">
        <v>17</v>
      </c>
      <c r="B118" s="1">
        <v>47457</v>
      </c>
      <c r="C118" s="8">
        <v>17.5</v>
      </c>
      <c r="D118" s="8">
        <v>4.0199999999999996</v>
      </c>
      <c r="E118" s="7">
        <f t="shared" si="7"/>
        <v>21.52</v>
      </c>
      <c r="F118" s="14">
        <v>9.7500000000000003E-2</v>
      </c>
      <c r="G118">
        <f t="shared" ca="1" si="6"/>
        <v>1446</v>
      </c>
      <c r="H118" t="s">
        <v>14</v>
      </c>
      <c r="I118">
        <v>1</v>
      </c>
    </row>
    <row r="119" spans="1:9" ht="16.5" thickBot="1" x14ac:dyDescent="0.35">
      <c r="A119" t="s">
        <v>17</v>
      </c>
      <c r="B119" s="1">
        <v>47639</v>
      </c>
      <c r="C119" s="8">
        <v>0</v>
      </c>
      <c r="D119" s="8">
        <v>3.17</v>
      </c>
      <c r="E119" s="7">
        <f t="shared" si="7"/>
        <v>3.17</v>
      </c>
      <c r="F119" s="14">
        <v>9.7500000000000003E-2</v>
      </c>
      <c r="G119">
        <f t="shared" ca="1" si="6"/>
        <v>1628</v>
      </c>
      <c r="H119" t="s">
        <v>14</v>
      </c>
      <c r="I119">
        <v>1</v>
      </c>
    </row>
    <row r="120" spans="1:9" ht="16.5" thickBot="1" x14ac:dyDescent="0.35">
      <c r="A120" t="s">
        <v>17</v>
      </c>
      <c r="B120" s="15">
        <v>47822</v>
      </c>
      <c r="C120" s="8">
        <v>65</v>
      </c>
      <c r="D120" s="9">
        <v>3.17</v>
      </c>
      <c r="E120" s="7">
        <f t="shared" si="7"/>
        <v>68.17</v>
      </c>
      <c r="F120" s="14">
        <v>9.7500000000000003E-2</v>
      </c>
      <c r="G120">
        <f t="shared" ca="1" si="6"/>
        <v>1811</v>
      </c>
      <c r="H120" t="s">
        <v>14</v>
      </c>
      <c r="I120">
        <v>1</v>
      </c>
    </row>
    <row r="121" spans="1:9" ht="17.25" thickTop="1" thickBot="1" x14ac:dyDescent="0.35">
      <c r="A121" t="s">
        <v>18</v>
      </c>
      <c r="B121" s="1">
        <v>45491</v>
      </c>
      <c r="C121" s="7">
        <v>0</v>
      </c>
      <c r="D121" s="12"/>
      <c r="E121" s="7">
        <f t="shared" si="7"/>
        <v>0</v>
      </c>
      <c r="F121" s="10">
        <v>9.5000000000000001E-2</v>
      </c>
      <c r="G121">
        <f t="shared" ca="1" si="6"/>
        <v>-520</v>
      </c>
      <c r="H121" t="s">
        <v>14</v>
      </c>
      <c r="I121">
        <v>1000</v>
      </c>
    </row>
    <row r="122" spans="1:9" ht="16.5" thickBot="1" x14ac:dyDescent="0.35">
      <c r="A122" t="s">
        <v>18</v>
      </c>
      <c r="B122" s="1">
        <v>45675</v>
      </c>
      <c r="C122" s="8">
        <v>0</v>
      </c>
      <c r="D122" s="8">
        <v>4.75</v>
      </c>
      <c r="E122" s="7">
        <f t="shared" si="7"/>
        <v>4.75</v>
      </c>
      <c r="F122" s="10">
        <v>9.5000000000000001E-2</v>
      </c>
      <c r="G122">
        <f t="shared" ca="1" si="6"/>
        <v>-336</v>
      </c>
      <c r="H122" t="s">
        <v>14</v>
      </c>
      <c r="I122">
        <v>1000</v>
      </c>
    </row>
    <row r="123" spans="1:9" ht="16.5" thickBot="1" x14ac:dyDescent="0.35">
      <c r="A123" t="s">
        <v>18</v>
      </c>
      <c r="B123" s="1">
        <v>45856</v>
      </c>
      <c r="C123" s="8">
        <v>0</v>
      </c>
      <c r="D123" s="8">
        <v>4.75</v>
      </c>
      <c r="E123" s="7">
        <f t="shared" si="7"/>
        <v>4.75</v>
      </c>
      <c r="F123" s="10">
        <v>9.5000000000000001E-2</v>
      </c>
      <c r="G123">
        <f t="shared" ca="1" si="6"/>
        <v>-155</v>
      </c>
      <c r="H123" t="s">
        <v>14</v>
      </c>
      <c r="I123">
        <v>1000</v>
      </c>
    </row>
    <row r="124" spans="1:9" ht="16.5" thickBot="1" x14ac:dyDescent="0.35">
      <c r="A124" t="s">
        <v>18</v>
      </c>
      <c r="B124" s="1">
        <v>46040</v>
      </c>
      <c r="C124" s="8">
        <v>0</v>
      </c>
      <c r="D124" s="8">
        <v>4.75</v>
      </c>
      <c r="E124" s="7">
        <f t="shared" si="7"/>
        <v>4.75</v>
      </c>
      <c r="F124" s="10">
        <v>9.5000000000000001E-2</v>
      </c>
      <c r="G124">
        <f t="shared" ca="1" si="6"/>
        <v>29</v>
      </c>
      <c r="H124" t="s">
        <v>14</v>
      </c>
      <c r="I124">
        <v>1000</v>
      </c>
    </row>
    <row r="125" spans="1:9" ht="16.5" thickBot="1" x14ac:dyDescent="0.35">
      <c r="A125" t="s">
        <v>18</v>
      </c>
      <c r="B125" s="1">
        <v>46221</v>
      </c>
      <c r="C125" s="8">
        <v>0</v>
      </c>
      <c r="D125" s="8">
        <v>4.75</v>
      </c>
      <c r="E125" s="7">
        <f t="shared" si="7"/>
        <v>4.75</v>
      </c>
      <c r="F125" s="10">
        <v>9.5000000000000001E-2</v>
      </c>
      <c r="G125">
        <f t="shared" ca="1" si="6"/>
        <v>210</v>
      </c>
      <c r="H125" t="s">
        <v>14</v>
      </c>
      <c r="I125">
        <v>1000</v>
      </c>
    </row>
    <row r="126" spans="1:9" ht="16.5" thickBot="1" x14ac:dyDescent="0.35">
      <c r="A126" t="s">
        <v>18</v>
      </c>
      <c r="B126" s="1">
        <v>46405</v>
      </c>
      <c r="C126" s="8">
        <v>0</v>
      </c>
      <c r="D126" s="8">
        <v>4.75</v>
      </c>
      <c r="E126" s="7">
        <f t="shared" si="7"/>
        <v>4.75</v>
      </c>
      <c r="F126" s="10">
        <v>9.5000000000000001E-2</v>
      </c>
      <c r="G126">
        <f t="shared" ca="1" si="6"/>
        <v>394</v>
      </c>
      <c r="H126" t="s">
        <v>14</v>
      </c>
      <c r="I126">
        <v>1000</v>
      </c>
    </row>
    <row r="127" spans="1:9" ht="16.5" thickBot="1" x14ac:dyDescent="0.35">
      <c r="A127" t="s">
        <v>18</v>
      </c>
      <c r="B127" s="1">
        <v>46586</v>
      </c>
      <c r="C127" s="8">
        <v>0</v>
      </c>
      <c r="D127" s="8">
        <v>4.75</v>
      </c>
      <c r="E127" s="7">
        <f t="shared" si="7"/>
        <v>4.75</v>
      </c>
      <c r="F127" s="10">
        <v>9.5000000000000001E-2</v>
      </c>
      <c r="G127">
        <f t="shared" ca="1" si="6"/>
        <v>575</v>
      </c>
      <c r="H127" t="s">
        <v>14</v>
      </c>
      <c r="I127">
        <v>1000</v>
      </c>
    </row>
    <row r="128" spans="1:9" ht="16.5" thickBot="1" x14ac:dyDescent="0.35">
      <c r="A128" t="s">
        <v>18</v>
      </c>
      <c r="B128" s="1">
        <v>46770</v>
      </c>
      <c r="C128" s="8">
        <v>0</v>
      </c>
      <c r="D128" s="8">
        <v>4.75</v>
      </c>
      <c r="E128" s="7">
        <f t="shared" si="7"/>
        <v>4.75</v>
      </c>
      <c r="F128" s="10">
        <v>9.5000000000000001E-2</v>
      </c>
      <c r="G128">
        <f t="shared" ca="1" si="6"/>
        <v>759</v>
      </c>
      <c r="H128" t="s">
        <v>14</v>
      </c>
      <c r="I128">
        <v>1000</v>
      </c>
    </row>
    <row r="129" spans="1:9" ht="16.5" thickBot="1" x14ac:dyDescent="0.35">
      <c r="A129" t="s">
        <v>18</v>
      </c>
      <c r="B129" s="1">
        <v>46952</v>
      </c>
      <c r="C129" s="8">
        <v>0</v>
      </c>
      <c r="D129" s="8">
        <v>4.75</v>
      </c>
      <c r="E129" s="7">
        <f t="shared" si="7"/>
        <v>4.75</v>
      </c>
      <c r="F129" s="10">
        <v>9.5000000000000001E-2</v>
      </c>
      <c r="G129">
        <f t="shared" ca="1" si="6"/>
        <v>941</v>
      </c>
      <c r="H129" t="s">
        <v>14</v>
      </c>
      <c r="I129">
        <v>1000</v>
      </c>
    </row>
    <row r="130" spans="1:9" ht="16.5" thickBot="1" x14ac:dyDescent="0.35">
      <c r="A130" t="s">
        <v>18</v>
      </c>
      <c r="B130" s="1">
        <v>47136</v>
      </c>
      <c r="C130" s="8">
        <v>0</v>
      </c>
      <c r="D130" s="8">
        <v>4.75</v>
      </c>
      <c r="E130" s="7">
        <f t="shared" si="7"/>
        <v>4.75</v>
      </c>
      <c r="F130" s="10">
        <v>9.5000000000000001E-2</v>
      </c>
      <c r="G130">
        <f t="shared" ca="1" si="6"/>
        <v>1125</v>
      </c>
      <c r="H130" t="s">
        <v>14</v>
      </c>
      <c r="I130">
        <v>1000</v>
      </c>
    </row>
    <row r="131" spans="1:9" ht="16.5" thickBot="1" x14ac:dyDescent="0.35">
      <c r="A131" t="s">
        <v>18</v>
      </c>
      <c r="B131" s="1">
        <v>47317</v>
      </c>
      <c r="C131" s="8">
        <v>33</v>
      </c>
      <c r="D131" s="8">
        <v>4.75</v>
      </c>
      <c r="E131" s="7">
        <f t="shared" si="7"/>
        <v>37.75</v>
      </c>
      <c r="F131" s="10">
        <v>9.5000000000000001E-2</v>
      </c>
      <c r="G131">
        <f t="shared" ca="1" si="6"/>
        <v>1306</v>
      </c>
      <c r="H131" t="s">
        <v>14</v>
      </c>
      <c r="I131">
        <v>1000</v>
      </c>
    </row>
    <row r="132" spans="1:9" ht="16.5" thickBot="1" x14ac:dyDescent="0.35">
      <c r="A132" t="s">
        <v>18</v>
      </c>
      <c r="B132" s="1">
        <v>47501</v>
      </c>
      <c r="C132" s="8">
        <v>0</v>
      </c>
      <c r="D132" s="8">
        <v>3.18</v>
      </c>
      <c r="E132" s="7">
        <f t="shared" si="7"/>
        <v>3.18</v>
      </c>
      <c r="F132" s="10">
        <v>9.5000000000000001E-2</v>
      </c>
      <c r="G132">
        <f t="shared" ca="1" si="6"/>
        <v>1490</v>
      </c>
      <c r="H132" t="s">
        <v>14</v>
      </c>
      <c r="I132">
        <v>1000</v>
      </c>
    </row>
    <row r="133" spans="1:9" ht="16.5" thickBot="1" x14ac:dyDescent="0.35">
      <c r="A133" t="s">
        <v>18</v>
      </c>
      <c r="B133" s="1">
        <v>47682</v>
      </c>
      <c r="C133" s="8">
        <v>33</v>
      </c>
      <c r="D133" s="8">
        <v>3.18</v>
      </c>
      <c r="E133" s="7">
        <f t="shared" si="7"/>
        <v>36.18</v>
      </c>
      <c r="F133" s="10">
        <v>9.5000000000000001E-2</v>
      </c>
      <c r="G133">
        <f t="shared" ca="1" si="6"/>
        <v>1671</v>
      </c>
      <c r="H133" t="s">
        <v>14</v>
      </c>
      <c r="I133">
        <v>1000</v>
      </c>
    </row>
    <row r="134" spans="1:9" ht="16.5" thickBot="1" x14ac:dyDescent="0.35">
      <c r="A134" t="s">
        <v>18</v>
      </c>
      <c r="B134" s="1">
        <v>47866</v>
      </c>
      <c r="C134" s="8">
        <v>0</v>
      </c>
      <c r="D134" s="8">
        <v>1.62</v>
      </c>
      <c r="E134" s="7">
        <f t="shared" si="7"/>
        <v>1.62</v>
      </c>
      <c r="F134" s="10">
        <v>9.5000000000000001E-2</v>
      </c>
      <c r="G134">
        <f t="shared" ca="1" si="6"/>
        <v>1855</v>
      </c>
      <c r="H134" t="s">
        <v>14</v>
      </c>
      <c r="I134">
        <v>1000</v>
      </c>
    </row>
    <row r="135" spans="1:9" ht="16.5" thickBot="1" x14ac:dyDescent="0.35">
      <c r="A135" t="s">
        <v>18</v>
      </c>
      <c r="B135" s="15">
        <v>48047</v>
      </c>
      <c r="C135" s="8">
        <v>34</v>
      </c>
      <c r="D135" s="8">
        <v>1.62</v>
      </c>
      <c r="E135" s="7">
        <f t="shared" si="7"/>
        <v>35.619999999999997</v>
      </c>
      <c r="F135" s="10">
        <v>9.5000000000000001E-2</v>
      </c>
      <c r="G135">
        <f t="shared" ca="1" si="6"/>
        <v>2036</v>
      </c>
      <c r="H135" t="s">
        <v>14</v>
      </c>
      <c r="I135">
        <v>1000</v>
      </c>
    </row>
    <row r="136" spans="1:9" ht="16.5" thickBot="1" x14ac:dyDescent="0.35">
      <c r="A136" t="s">
        <v>19</v>
      </c>
      <c r="B136" s="1">
        <v>45546</v>
      </c>
      <c r="C136" s="7">
        <v>0</v>
      </c>
      <c r="D136" s="12"/>
      <c r="E136" s="7">
        <f t="shared" si="7"/>
        <v>0</v>
      </c>
      <c r="F136" s="10">
        <v>8.7499999999999994E-2</v>
      </c>
      <c r="G136">
        <f t="shared" ca="1" si="6"/>
        <v>-465</v>
      </c>
      <c r="H136" t="s">
        <v>14</v>
      </c>
      <c r="I136">
        <v>1</v>
      </c>
    </row>
    <row r="137" spans="1:9" ht="16.5" thickBot="1" x14ac:dyDescent="0.35">
      <c r="A137" t="s">
        <v>19</v>
      </c>
      <c r="B137" s="1">
        <v>45727</v>
      </c>
      <c r="C137" s="8">
        <v>0</v>
      </c>
      <c r="D137" s="8">
        <v>4.38</v>
      </c>
      <c r="E137" s="7">
        <f t="shared" si="7"/>
        <v>4.38</v>
      </c>
      <c r="F137" s="10">
        <v>8.7499999999999994E-2</v>
      </c>
      <c r="G137">
        <f t="shared" ca="1" si="6"/>
        <v>-284</v>
      </c>
      <c r="H137" t="s">
        <v>14</v>
      </c>
      <c r="I137">
        <v>1</v>
      </c>
    </row>
    <row r="138" spans="1:9" ht="16.5" thickBot="1" x14ac:dyDescent="0.35">
      <c r="A138" t="s">
        <v>19</v>
      </c>
      <c r="B138" s="1">
        <v>45911</v>
      </c>
      <c r="C138" s="8">
        <v>0</v>
      </c>
      <c r="D138" s="8">
        <v>4.38</v>
      </c>
      <c r="E138" s="7">
        <f t="shared" si="7"/>
        <v>4.38</v>
      </c>
      <c r="F138" s="10">
        <v>8.7499999999999994E-2</v>
      </c>
      <c r="G138">
        <f t="shared" ca="1" si="6"/>
        <v>-100</v>
      </c>
      <c r="H138" t="s">
        <v>14</v>
      </c>
      <c r="I138">
        <v>1</v>
      </c>
    </row>
    <row r="139" spans="1:9" ht="16.5" thickBot="1" x14ac:dyDescent="0.35">
      <c r="A139" t="s">
        <v>19</v>
      </c>
      <c r="B139" s="1">
        <v>46092</v>
      </c>
      <c r="C139" s="8">
        <v>0</v>
      </c>
      <c r="D139" s="8">
        <v>4.38</v>
      </c>
      <c r="E139" s="7">
        <f t="shared" si="7"/>
        <v>4.38</v>
      </c>
      <c r="F139" s="10">
        <v>8.7499999999999994E-2</v>
      </c>
      <c r="G139">
        <f t="shared" ca="1" si="6"/>
        <v>81</v>
      </c>
      <c r="H139" t="s">
        <v>14</v>
      </c>
      <c r="I139">
        <v>1</v>
      </c>
    </row>
    <row r="140" spans="1:9" ht="16.5" thickBot="1" x14ac:dyDescent="0.35">
      <c r="A140" t="s">
        <v>19</v>
      </c>
      <c r="B140" s="1">
        <v>46276</v>
      </c>
      <c r="C140" s="8">
        <v>0</v>
      </c>
      <c r="D140" s="8">
        <v>4.38</v>
      </c>
      <c r="E140" s="7">
        <f t="shared" si="7"/>
        <v>4.38</v>
      </c>
      <c r="F140" s="10">
        <v>8.7499999999999994E-2</v>
      </c>
      <c r="G140">
        <f t="shared" ca="1" si="6"/>
        <v>265</v>
      </c>
      <c r="H140" t="s">
        <v>14</v>
      </c>
      <c r="I140">
        <v>1</v>
      </c>
    </row>
    <row r="141" spans="1:9" ht="16.5" thickBot="1" x14ac:dyDescent="0.35">
      <c r="A141" t="s">
        <v>19</v>
      </c>
      <c r="B141" s="1">
        <v>46457</v>
      </c>
      <c r="C141" s="8">
        <v>0</v>
      </c>
      <c r="D141" s="8">
        <v>4.38</v>
      </c>
      <c r="E141" s="7">
        <f t="shared" si="7"/>
        <v>4.38</v>
      </c>
      <c r="F141" s="10">
        <v>8.7499999999999994E-2</v>
      </c>
      <c r="G141">
        <f t="shared" ca="1" si="6"/>
        <v>446</v>
      </c>
      <c r="H141" t="s">
        <v>14</v>
      </c>
      <c r="I141">
        <v>1</v>
      </c>
    </row>
    <row r="142" spans="1:9" ht="16.5" thickBot="1" x14ac:dyDescent="0.35">
      <c r="A142" t="s">
        <v>19</v>
      </c>
      <c r="B142" s="1">
        <v>46641</v>
      </c>
      <c r="C142" s="8">
        <v>0</v>
      </c>
      <c r="D142" s="8">
        <v>4.38</v>
      </c>
      <c r="E142" s="7">
        <f t="shared" si="7"/>
        <v>4.38</v>
      </c>
      <c r="F142" s="10">
        <v>8.7499999999999994E-2</v>
      </c>
      <c r="G142">
        <f t="shared" ca="1" si="6"/>
        <v>630</v>
      </c>
      <c r="H142" t="s">
        <v>14</v>
      </c>
      <c r="I142">
        <v>1</v>
      </c>
    </row>
    <row r="143" spans="1:9" ht="16.5" thickBot="1" x14ac:dyDescent="0.35">
      <c r="A143" t="s">
        <v>19</v>
      </c>
      <c r="B143" s="1">
        <v>46823</v>
      </c>
      <c r="C143" s="8">
        <v>0</v>
      </c>
      <c r="D143" s="8">
        <v>4.38</v>
      </c>
      <c r="E143" s="7">
        <f t="shared" si="7"/>
        <v>4.38</v>
      </c>
      <c r="F143" s="10">
        <v>8.7499999999999994E-2</v>
      </c>
      <c r="G143">
        <f t="shared" ca="1" si="6"/>
        <v>812</v>
      </c>
      <c r="H143" t="s">
        <v>14</v>
      </c>
      <c r="I143">
        <v>1</v>
      </c>
    </row>
    <row r="144" spans="1:9" ht="16.5" thickBot="1" x14ac:dyDescent="0.35">
      <c r="A144" t="s">
        <v>19</v>
      </c>
      <c r="B144" s="1">
        <v>47007</v>
      </c>
      <c r="C144" s="8">
        <v>0</v>
      </c>
      <c r="D144" s="8">
        <v>4.38</v>
      </c>
      <c r="E144" s="7">
        <f t="shared" si="7"/>
        <v>4.38</v>
      </c>
      <c r="F144" s="10">
        <v>8.7499999999999994E-2</v>
      </c>
      <c r="G144">
        <f t="shared" ca="1" si="6"/>
        <v>996</v>
      </c>
      <c r="H144" t="s">
        <v>14</v>
      </c>
      <c r="I144">
        <v>1</v>
      </c>
    </row>
    <row r="145" spans="1:9" ht="16.5" thickBot="1" x14ac:dyDescent="0.35">
      <c r="A145" t="s">
        <v>19</v>
      </c>
      <c r="B145" s="1">
        <v>47188</v>
      </c>
      <c r="C145" s="8">
        <v>0</v>
      </c>
      <c r="D145" s="8">
        <v>4.38</v>
      </c>
      <c r="E145" s="7">
        <f t="shared" si="7"/>
        <v>4.38</v>
      </c>
      <c r="F145" s="10">
        <v>8.7499999999999994E-2</v>
      </c>
      <c r="G145">
        <f t="shared" ca="1" si="6"/>
        <v>1177</v>
      </c>
      <c r="H145" t="s">
        <v>14</v>
      </c>
      <c r="I145">
        <v>1</v>
      </c>
    </row>
    <row r="146" spans="1:9" ht="16.5" thickBot="1" x14ac:dyDescent="0.35">
      <c r="A146" t="s">
        <v>19</v>
      </c>
      <c r="B146" s="1">
        <v>47372</v>
      </c>
      <c r="C146" s="8">
        <v>20</v>
      </c>
      <c r="D146" s="8">
        <v>4.38</v>
      </c>
      <c r="E146" s="7">
        <f t="shared" si="7"/>
        <v>24.38</v>
      </c>
      <c r="F146" s="10">
        <v>8.7499999999999994E-2</v>
      </c>
      <c r="G146">
        <f t="shared" ca="1" si="6"/>
        <v>1361</v>
      </c>
      <c r="H146" t="s">
        <v>14</v>
      </c>
      <c r="I146">
        <v>1</v>
      </c>
    </row>
    <row r="147" spans="1:9" ht="16.5" thickBot="1" x14ac:dyDescent="0.35">
      <c r="A147" t="s">
        <v>19</v>
      </c>
      <c r="B147" s="1">
        <v>47553</v>
      </c>
      <c r="C147" s="8">
        <v>0</v>
      </c>
      <c r="D147" s="8">
        <v>3.5</v>
      </c>
      <c r="E147" s="7">
        <f t="shared" si="7"/>
        <v>3.5</v>
      </c>
      <c r="F147" s="10">
        <v>8.7499999999999994E-2</v>
      </c>
      <c r="G147">
        <f t="shared" ca="1" si="6"/>
        <v>1542</v>
      </c>
      <c r="H147" t="s">
        <v>14</v>
      </c>
      <c r="I147">
        <v>1</v>
      </c>
    </row>
    <row r="148" spans="1:9" ht="16.5" thickBot="1" x14ac:dyDescent="0.35">
      <c r="A148" t="s">
        <v>19</v>
      </c>
      <c r="B148" s="1">
        <v>47737</v>
      </c>
      <c r="C148" s="8">
        <v>20</v>
      </c>
      <c r="D148" s="8">
        <v>3.5</v>
      </c>
      <c r="E148" s="7">
        <f t="shared" si="7"/>
        <v>23.5</v>
      </c>
      <c r="F148" s="10">
        <v>8.7499999999999994E-2</v>
      </c>
      <c r="G148">
        <f t="shared" ca="1" si="6"/>
        <v>1726</v>
      </c>
      <c r="H148" t="s">
        <v>14</v>
      </c>
      <c r="I148">
        <v>1</v>
      </c>
    </row>
    <row r="149" spans="1:9" ht="16.5" thickBot="1" x14ac:dyDescent="0.35">
      <c r="A149" t="s">
        <v>19</v>
      </c>
      <c r="B149" s="1">
        <v>47918</v>
      </c>
      <c r="C149" s="8">
        <v>0</v>
      </c>
      <c r="D149" s="8">
        <v>2.63</v>
      </c>
      <c r="E149" s="7">
        <f t="shared" si="7"/>
        <v>2.63</v>
      </c>
      <c r="F149" s="10">
        <v>8.7499999999999994E-2</v>
      </c>
      <c r="G149">
        <f t="shared" ca="1" si="6"/>
        <v>1907</v>
      </c>
      <c r="H149" t="s">
        <v>14</v>
      </c>
      <c r="I149">
        <v>1</v>
      </c>
    </row>
    <row r="150" spans="1:9" ht="16.5" thickBot="1" x14ac:dyDescent="0.35">
      <c r="A150" t="s">
        <v>19</v>
      </c>
      <c r="B150" s="15">
        <v>48102</v>
      </c>
      <c r="C150" s="8">
        <v>60</v>
      </c>
      <c r="D150" s="8">
        <v>2.63</v>
      </c>
      <c r="E150" s="7">
        <f t="shared" si="7"/>
        <v>62.63</v>
      </c>
      <c r="F150" s="10">
        <v>8.7499999999999994E-2</v>
      </c>
      <c r="G150">
        <f t="shared" ca="1" si="6"/>
        <v>2091</v>
      </c>
      <c r="H150" t="s">
        <v>14</v>
      </c>
      <c r="I150">
        <v>1</v>
      </c>
    </row>
    <row r="151" spans="1:9" ht="16.5" thickBot="1" x14ac:dyDescent="0.35">
      <c r="A151" t="s">
        <v>20</v>
      </c>
      <c r="B151" s="1">
        <v>45412</v>
      </c>
      <c r="C151" s="7">
        <v>0</v>
      </c>
      <c r="D151" s="12"/>
      <c r="E151" s="7">
        <f t="shared" si="7"/>
        <v>0</v>
      </c>
      <c r="F151" s="10">
        <v>8.5000000000000006E-2</v>
      </c>
      <c r="G151">
        <f t="shared" ca="1" si="6"/>
        <v>-599</v>
      </c>
      <c r="H151" t="s">
        <v>14</v>
      </c>
      <c r="I151">
        <v>1000</v>
      </c>
    </row>
    <row r="152" spans="1:9" ht="16.5" thickBot="1" x14ac:dyDescent="0.35">
      <c r="A152" t="s">
        <v>20</v>
      </c>
      <c r="B152" s="1">
        <v>45595</v>
      </c>
      <c r="C152" s="8">
        <v>0</v>
      </c>
      <c r="D152" s="8">
        <v>4.25</v>
      </c>
      <c r="E152" s="7">
        <f t="shared" si="7"/>
        <v>4.25</v>
      </c>
      <c r="F152" s="10">
        <v>8.5000000000000006E-2</v>
      </c>
      <c r="G152">
        <f t="shared" ca="1" si="6"/>
        <v>-416</v>
      </c>
      <c r="H152" t="s">
        <v>14</v>
      </c>
      <c r="I152">
        <v>1000</v>
      </c>
    </row>
    <row r="153" spans="1:9" ht="16.5" thickBot="1" x14ac:dyDescent="0.35">
      <c r="A153" t="s">
        <v>20</v>
      </c>
      <c r="B153" s="1">
        <v>45777</v>
      </c>
      <c r="C153" s="8">
        <v>0</v>
      </c>
      <c r="D153" s="8">
        <v>4.25</v>
      </c>
      <c r="E153" s="7">
        <f t="shared" si="7"/>
        <v>4.25</v>
      </c>
      <c r="F153" s="10">
        <v>8.5000000000000006E-2</v>
      </c>
      <c r="G153">
        <f t="shared" ca="1" si="6"/>
        <v>-234</v>
      </c>
      <c r="H153" t="s">
        <v>14</v>
      </c>
      <c r="I153">
        <v>1000</v>
      </c>
    </row>
    <row r="154" spans="1:9" ht="16.5" thickBot="1" x14ac:dyDescent="0.35">
      <c r="A154" t="s">
        <v>20</v>
      </c>
      <c r="B154" s="1">
        <v>45960</v>
      </c>
      <c r="C154" s="8">
        <v>0</v>
      </c>
      <c r="D154" s="8">
        <v>4.25</v>
      </c>
      <c r="E154" s="7">
        <f t="shared" si="7"/>
        <v>4.25</v>
      </c>
      <c r="F154" s="10">
        <v>8.5000000000000006E-2</v>
      </c>
      <c r="G154">
        <f t="shared" ca="1" si="6"/>
        <v>-51</v>
      </c>
      <c r="H154" t="s">
        <v>14</v>
      </c>
      <c r="I154">
        <v>1000</v>
      </c>
    </row>
    <row r="155" spans="1:9" ht="16.5" thickBot="1" x14ac:dyDescent="0.35">
      <c r="A155" t="s">
        <v>20</v>
      </c>
      <c r="B155" s="1">
        <v>46142</v>
      </c>
      <c r="C155" s="8">
        <v>0</v>
      </c>
      <c r="D155" s="8">
        <v>4.25</v>
      </c>
      <c r="E155" s="7">
        <f t="shared" si="7"/>
        <v>4.25</v>
      </c>
      <c r="F155" s="10">
        <v>8.5000000000000006E-2</v>
      </c>
      <c r="G155">
        <f t="shared" ca="1" si="6"/>
        <v>131</v>
      </c>
      <c r="H155" t="s">
        <v>14</v>
      </c>
      <c r="I155">
        <v>1000</v>
      </c>
    </row>
    <row r="156" spans="1:9" ht="16.5" thickBot="1" x14ac:dyDescent="0.35">
      <c r="A156" t="s">
        <v>20</v>
      </c>
      <c r="B156" s="1">
        <v>46325</v>
      </c>
      <c r="C156" s="8">
        <v>0</v>
      </c>
      <c r="D156" s="8">
        <v>4.25</v>
      </c>
      <c r="E156" s="7">
        <f t="shared" si="7"/>
        <v>4.25</v>
      </c>
      <c r="F156" s="10">
        <v>8.5000000000000006E-2</v>
      </c>
      <c r="G156">
        <f t="shared" ca="1" si="6"/>
        <v>314</v>
      </c>
      <c r="H156" t="s">
        <v>14</v>
      </c>
      <c r="I156">
        <v>1000</v>
      </c>
    </row>
    <row r="157" spans="1:9" ht="16.5" thickBot="1" x14ac:dyDescent="0.35">
      <c r="A157" t="s">
        <v>20</v>
      </c>
      <c r="B157" s="1">
        <v>46507</v>
      </c>
      <c r="C157" s="8">
        <v>0</v>
      </c>
      <c r="D157" s="8">
        <v>4.25</v>
      </c>
      <c r="E157" s="7">
        <f t="shared" si="7"/>
        <v>4.25</v>
      </c>
      <c r="F157" s="10">
        <v>8.5000000000000006E-2</v>
      </c>
      <c r="G157">
        <f t="shared" ca="1" si="6"/>
        <v>496</v>
      </c>
      <c r="H157" t="s">
        <v>14</v>
      </c>
      <c r="I157">
        <v>1000</v>
      </c>
    </row>
    <row r="158" spans="1:9" ht="16.5" thickBot="1" x14ac:dyDescent="0.35">
      <c r="A158" t="s">
        <v>20</v>
      </c>
      <c r="B158" s="1">
        <v>46690</v>
      </c>
      <c r="C158" s="8">
        <v>0</v>
      </c>
      <c r="D158" s="8">
        <v>4.25</v>
      </c>
      <c r="E158" s="7">
        <f t="shared" si="7"/>
        <v>4.25</v>
      </c>
      <c r="F158" s="10">
        <v>8.5000000000000006E-2</v>
      </c>
      <c r="G158">
        <f t="shared" ca="1" si="6"/>
        <v>679</v>
      </c>
      <c r="H158" t="s">
        <v>14</v>
      </c>
      <c r="I158">
        <v>1000</v>
      </c>
    </row>
    <row r="159" spans="1:9" ht="16.5" thickBot="1" x14ac:dyDescent="0.35">
      <c r="A159" t="s">
        <v>20</v>
      </c>
      <c r="B159" s="1">
        <v>46873</v>
      </c>
      <c r="C159" s="8">
        <v>0</v>
      </c>
      <c r="D159" s="8">
        <v>4.25</v>
      </c>
      <c r="E159" s="7">
        <f t="shared" si="7"/>
        <v>4.25</v>
      </c>
      <c r="F159" s="10">
        <v>8.5000000000000006E-2</v>
      </c>
      <c r="G159">
        <f t="shared" ca="1" si="6"/>
        <v>862</v>
      </c>
      <c r="H159" t="s">
        <v>14</v>
      </c>
      <c r="I159">
        <v>1000</v>
      </c>
    </row>
    <row r="160" spans="1:9" ht="16.5" thickBot="1" x14ac:dyDescent="0.35">
      <c r="A160" t="s">
        <v>20</v>
      </c>
      <c r="B160" s="1">
        <v>47056</v>
      </c>
      <c r="C160" s="8">
        <v>0</v>
      </c>
      <c r="D160" s="8">
        <v>4.25</v>
      </c>
      <c r="E160" s="7">
        <f t="shared" si="7"/>
        <v>4.25</v>
      </c>
      <c r="F160" s="10">
        <v>8.5000000000000006E-2</v>
      </c>
      <c r="G160">
        <f t="shared" ca="1" si="6"/>
        <v>1045</v>
      </c>
      <c r="H160" t="s">
        <v>14</v>
      </c>
      <c r="I160">
        <v>1000</v>
      </c>
    </row>
    <row r="161" spans="1:9" ht="16.5" thickBot="1" x14ac:dyDescent="0.35">
      <c r="A161" t="s">
        <v>20</v>
      </c>
      <c r="B161" s="1">
        <v>47238</v>
      </c>
      <c r="C161" s="8">
        <v>0</v>
      </c>
      <c r="D161" s="8">
        <v>4.25</v>
      </c>
      <c r="E161" s="7">
        <f t="shared" si="7"/>
        <v>4.25</v>
      </c>
      <c r="F161" s="10">
        <v>8.5000000000000006E-2</v>
      </c>
      <c r="G161">
        <f t="shared" ca="1" si="6"/>
        <v>1227</v>
      </c>
      <c r="H161" t="s">
        <v>14</v>
      </c>
      <c r="I161">
        <v>1000</v>
      </c>
    </row>
    <row r="162" spans="1:9" ht="16.5" thickBot="1" x14ac:dyDescent="0.35">
      <c r="A162" t="s">
        <v>20</v>
      </c>
      <c r="B162" s="1">
        <v>47421</v>
      </c>
      <c r="C162" s="8">
        <v>0</v>
      </c>
      <c r="D162" s="8">
        <v>4.25</v>
      </c>
      <c r="E162" s="7">
        <f t="shared" si="7"/>
        <v>4.25</v>
      </c>
      <c r="F162" s="10">
        <v>8.5000000000000006E-2</v>
      </c>
      <c r="G162">
        <f t="shared" ca="1" si="6"/>
        <v>1410</v>
      </c>
      <c r="H162" t="s">
        <v>14</v>
      </c>
      <c r="I162">
        <v>1000</v>
      </c>
    </row>
    <row r="163" spans="1:9" ht="16.5" thickBot="1" x14ac:dyDescent="0.35">
      <c r="A163" t="s">
        <v>20</v>
      </c>
      <c r="B163" s="1">
        <v>47603</v>
      </c>
      <c r="C163" s="8">
        <v>33.33</v>
      </c>
      <c r="D163" s="8">
        <v>4.25</v>
      </c>
      <c r="E163" s="7">
        <f t="shared" si="7"/>
        <v>37.58</v>
      </c>
      <c r="F163" s="10">
        <v>8.5000000000000006E-2</v>
      </c>
      <c r="G163">
        <f t="shared" ca="1" si="6"/>
        <v>1592</v>
      </c>
      <c r="H163" t="s">
        <v>14</v>
      </c>
      <c r="I163">
        <v>1000</v>
      </c>
    </row>
    <row r="164" spans="1:9" ht="16.5" thickBot="1" x14ac:dyDescent="0.35">
      <c r="A164" t="s">
        <v>20</v>
      </c>
      <c r="B164" s="1">
        <v>47786</v>
      </c>
      <c r="C164" s="8">
        <v>0</v>
      </c>
      <c r="D164" s="8">
        <v>2.83</v>
      </c>
      <c r="E164" s="7">
        <f t="shared" si="7"/>
        <v>2.83</v>
      </c>
      <c r="F164" s="10">
        <v>8.5000000000000006E-2</v>
      </c>
      <c r="G164">
        <f t="shared" ca="1" si="6"/>
        <v>1775</v>
      </c>
      <c r="H164" t="s">
        <v>14</v>
      </c>
      <c r="I164">
        <v>1000</v>
      </c>
    </row>
    <row r="165" spans="1:9" ht="16.5" thickBot="1" x14ac:dyDescent="0.35">
      <c r="A165" t="s">
        <v>20</v>
      </c>
      <c r="B165" s="1">
        <v>47968</v>
      </c>
      <c r="C165" s="8">
        <v>33.33</v>
      </c>
      <c r="D165" s="8">
        <v>2.83</v>
      </c>
      <c r="E165" s="7">
        <f t="shared" si="7"/>
        <v>36.159999999999997</v>
      </c>
      <c r="F165" s="10">
        <v>8.5000000000000006E-2</v>
      </c>
      <c r="G165">
        <f t="shared" ca="1" si="6"/>
        <v>1957</v>
      </c>
      <c r="H165" t="s">
        <v>14</v>
      </c>
      <c r="I165">
        <v>1000</v>
      </c>
    </row>
    <row r="166" spans="1:9" ht="16.5" thickBot="1" x14ac:dyDescent="0.35">
      <c r="A166" t="s">
        <v>20</v>
      </c>
      <c r="B166" s="1">
        <v>48151</v>
      </c>
      <c r="C166" s="8">
        <v>0</v>
      </c>
      <c r="D166" s="8">
        <v>1.42</v>
      </c>
      <c r="E166" s="7">
        <f t="shared" si="7"/>
        <v>1.42</v>
      </c>
      <c r="F166" s="10">
        <v>8.5000000000000006E-2</v>
      </c>
      <c r="G166">
        <f t="shared" ca="1" si="6"/>
        <v>2140</v>
      </c>
      <c r="H166" t="s">
        <v>14</v>
      </c>
      <c r="I166">
        <v>1000</v>
      </c>
    </row>
    <row r="167" spans="1:9" ht="16.5" thickBot="1" x14ac:dyDescent="0.35">
      <c r="A167" t="s">
        <v>20</v>
      </c>
      <c r="B167" s="15">
        <v>48334</v>
      </c>
      <c r="C167" s="8">
        <v>33.340000000000003</v>
      </c>
      <c r="D167" s="8">
        <v>1.42</v>
      </c>
      <c r="E167" s="7">
        <f t="shared" si="7"/>
        <v>34.760000000000005</v>
      </c>
      <c r="F167" s="10">
        <v>8.5000000000000006E-2</v>
      </c>
      <c r="G167">
        <f t="shared" ca="1" si="6"/>
        <v>2323</v>
      </c>
      <c r="H167" t="s">
        <v>14</v>
      </c>
      <c r="I167">
        <v>1000</v>
      </c>
    </row>
    <row r="168" spans="1:9" ht="16.5" thickBot="1" x14ac:dyDescent="0.35">
      <c r="A168" t="s">
        <v>21</v>
      </c>
      <c r="B168" s="1">
        <v>45979</v>
      </c>
      <c r="C168" s="7">
        <v>0</v>
      </c>
      <c r="D168" s="12"/>
      <c r="E168" s="7">
        <f t="shared" si="7"/>
        <v>0</v>
      </c>
      <c r="F168" s="10">
        <v>8.1299999999999997E-2</v>
      </c>
      <c r="G168">
        <f t="shared" ca="1" si="6"/>
        <v>-32</v>
      </c>
      <c r="H168" t="s">
        <v>14</v>
      </c>
      <c r="I168">
        <v>1000</v>
      </c>
    </row>
    <row r="169" spans="1:9" ht="16.5" thickBot="1" x14ac:dyDescent="0.35">
      <c r="A169" t="s">
        <v>21</v>
      </c>
      <c r="B169" s="1">
        <v>46160</v>
      </c>
      <c r="C169" s="8">
        <v>0</v>
      </c>
      <c r="D169" s="8">
        <v>4.0599999999999996</v>
      </c>
      <c r="E169" s="7">
        <f t="shared" si="7"/>
        <v>4.0599999999999996</v>
      </c>
      <c r="F169" s="10">
        <v>8.1299999999999997E-2</v>
      </c>
      <c r="G169">
        <f t="shared" ca="1" si="6"/>
        <v>149</v>
      </c>
      <c r="H169" t="s">
        <v>14</v>
      </c>
      <c r="I169">
        <v>1000</v>
      </c>
    </row>
    <row r="170" spans="1:9" ht="16.5" thickBot="1" x14ac:dyDescent="0.35">
      <c r="A170" t="s">
        <v>21</v>
      </c>
      <c r="B170" s="1">
        <v>46344</v>
      </c>
      <c r="C170" s="8">
        <v>0</v>
      </c>
      <c r="D170" s="8">
        <v>4.0599999999999996</v>
      </c>
      <c r="E170" s="7">
        <f t="shared" si="7"/>
        <v>4.0599999999999996</v>
      </c>
      <c r="F170" s="10">
        <v>8.1299999999999997E-2</v>
      </c>
      <c r="G170">
        <f t="shared" ref="G170:G233" ca="1" si="8">B170-$Q$1</f>
        <v>333</v>
      </c>
      <c r="H170" t="s">
        <v>14</v>
      </c>
      <c r="I170">
        <v>1000</v>
      </c>
    </row>
    <row r="171" spans="1:9" ht="16.5" thickBot="1" x14ac:dyDescent="0.35">
      <c r="A171" t="s">
        <v>21</v>
      </c>
      <c r="B171" s="1">
        <v>46525</v>
      </c>
      <c r="C171" s="8">
        <v>0</v>
      </c>
      <c r="D171" s="8">
        <v>4.0599999999999996</v>
      </c>
      <c r="E171" s="7">
        <f t="shared" ref="E171:E234" si="9">C171+D171</f>
        <v>4.0599999999999996</v>
      </c>
      <c r="F171" s="10">
        <v>8.1299999999999997E-2</v>
      </c>
      <c r="G171">
        <f t="shared" ca="1" si="8"/>
        <v>514</v>
      </c>
      <c r="H171" t="s">
        <v>14</v>
      </c>
      <c r="I171">
        <v>1000</v>
      </c>
    </row>
    <row r="172" spans="1:9" ht="16.5" thickBot="1" x14ac:dyDescent="0.35">
      <c r="A172" t="s">
        <v>21</v>
      </c>
      <c r="B172" s="1">
        <v>46709</v>
      </c>
      <c r="C172" s="8">
        <v>0</v>
      </c>
      <c r="D172" s="8">
        <v>4.0599999999999996</v>
      </c>
      <c r="E172" s="7">
        <f t="shared" si="9"/>
        <v>4.0599999999999996</v>
      </c>
      <c r="F172" s="10">
        <v>8.1299999999999997E-2</v>
      </c>
      <c r="G172">
        <f t="shared" ca="1" si="8"/>
        <v>698</v>
      </c>
      <c r="H172" t="s">
        <v>14</v>
      </c>
      <c r="I172">
        <v>1000</v>
      </c>
    </row>
    <row r="173" spans="1:9" ht="16.5" thickBot="1" x14ac:dyDescent="0.35">
      <c r="A173" t="s">
        <v>21</v>
      </c>
      <c r="B173" s="1">
        <v>46891</v>
      </c>
      <c r="C173" s="8">
        <v>0</v>
      </c>
      <c r="D173" s="8">
        <v>4.0599999999999996</v>
      </c>
      <c r="E173" s="7">
        <f t="shared" si="9"/>
        <v>4.0599999999999996</v>
      </c>
      <c r="F173" s="10">
        <v>8.1299999999999997E-2</v>
      </c>
      <c r="G173">
        <f t="shared" ca="1" si="8"/>
        <v>880</v>
      </c>
      <c r="H173" t="s">
        <v>14</v>
      </c>
      <c r="I173">
        <v>1000</v>
      </c>
    </row>
    <row r="174" spans="1:9" ht="16.5" thickBot="1" x14ac:dyDescent="0.35">
      <c r="A174" t="s">
        <v>21</v>
      </c>
      <c r="B174" s="1">
        <v>47075</v>
      </c>
      <c r="C174" s="8">
        <v>0</v>
      </c>
      <c r="D174" s="8">
        <v>4.0599999999999996</v>
      </c>
      <c r="E174" s="7">
        <f t="shared" si="9"/>
        <v>4.0599999999999996</v>
      </c>
      <c r="F174" s="10">
        <v>8.1299999999999997E-2</v>
      </c>
      <c r="G174">
        <f t="shared" ca="1" si="8"/>
        <v>1064</v>
      </c>
      <c r="H174" t="s">
        <v>14</v>
      </c>
      <c r="I174">
        <v>1000</v>
      </c>
    </row>
    <row r="175" spans="1:9" ht="16.5" thickBot="1" x14ac:dyDescent="0.35">
      <c r="A175" t="s">
        <v>21</v>
      </c>
      <c r="B175" s="1">
        <v>47256</v>
      </c>
      <c r="C175" s="8">
        <v>0</v>
      </c>
      <c r="D175" s="8">
        <v>4.0599999999999996</v>
      </c>
      <c r="E175" s="7">
        <f t="shared" si="9"/>
        <v>4.0599999999999996</v>
      </c>
      <c r="F175" s="10">
        <v>8.1299999999999997E-2</v>
      </c>
      <c r="G175">
        <f t="shared" ca="1" si="8"/>
        <v>1245</v>
      </c>
      <c r="H175" t="s">
        <v>14</v>
      </c>
      <c r="I175">
        <v>1000</v>
      </c>
    </row>
    <row r="176" spans="1:9" ht="16.5" thickBot="1" x14ac:dyDescent="0.35">
      <c r="A176" t="s">
        <v>21</v>
      </c>
      <c r="B176" s="1">
        <v>47440</v>
      </c>
      <c r="C176" s="8">
        <v>0</v>
      </c>
      <c r="D176" s="8">
        <v>4.0599999999999996</v>
      </c>
      <c r="E176" s="7">
        <f t="shared" si="9"/>
        <v>4.0599999999999996</v>
      </c>
      <c r="F176" s="10">
        <v>8.1299999999999997E-2</v>
      </c>
      <c r="G176">
        <f t="shared" ca="1" si="8"/>
        <v>1429</v>
      </c>
      <c r="H176" t="s">
        <v>14</v>
      </c>
      <c r="I176">
        <v>1000</v>
      </c>
    </row>
    <row r="177" spans="1:9" ht="16.5" thickBot="1" x14ac:dyDescent="0.35">
      <c r="A177" t="s">
        <v>21</v>
      </c>
      <c r="B177" s="1">
        <v>47621</v>
      </c>
      <c r="C177" s="8">
        <v>0</v>
      </c>
      <c r="D177" s="8">
        <v>4.0599999999999996</v>
      </c>
      <c r="E177" s="7">
        <f t="shared" si="9"/>
        <v>4.0599999999999996</v>
      </c>
      <c r="F177" s="10">
        <v>8.1299999999999997E-2</v>
      </c>
      <c r="G177">
        <f t="shared" ca="1" si="8"/>
        <v>1610</v>
      </c>
      <c r="H177" t="s">
        <v>14</v>
      </c>
      <c r="I177">
        <v>1000</v>
      </c>
    </row>
    <row r="178" spans="1:9" ht="16.5" thickBot="1" x14ac:dyDescent="0.35">
      <c r="A178" t="s">
        <v>21</v>
      </c>
      <c r="B178" s="1">
        <v>47805</v>
      </c>
      <c r="C178" s="8">
        <v>0</v>
      </c>
      <c r="D178" s="8">
        <v>4.0599999999999996</v>
      </c>
      <c r="E178" s="7">
        <f t="shared" si="9"/>
        <v>4.0599999999999996</v>
      </c>
      <c r="F178" s="10">
        <v>8.1299999999999997E-2</v>
      </c>
      <c r="G178">
        <f t="shared" ca="1" si="8"/>
        <v>1794</v>
      </c>
      <c r="H178" t="s">
        <v>14</v>
      </c>
      <c r="I178">
        <v>1000</v>
      </c>
    </row>
    <row r="179" spans="1:9" ht="16.5" thickBot="1" x14ac:dyDescent="0.35">
      <c r="A179" t="s">
        <v>21</v>
      </c>
      <c r="B179" s="16">
        <v>47986</v>
      </c>
      <c r="C179" s="8">
        <v>100</v>
      </c>
      <c r="D179" s="9">
        <v>4.0599999999999996</v>
      </c>
      <c r="E179" s="7">
        <f t="shared" si="9"/>
        <v>104.06</v>
      </c>
      <c r="F179" s="10">
        <v>8.1299999999999997E-2</v>
      </c>
      <c r="G179">
        <f t="shared" ca="1" si="8"/>
        <v>1975</v>
      </c>
      <c r="H179" t="s">
        <v>14</v>
      </c>
      <c r="I179">
        <v>1000</v>
      </c>
    </row>
    <row r="180" spans="1:9" ht="17.25" thickTop="1" thickBot="1" x14ac:dyDescent="0.35">
      <c r="A180" t="s">
        <v>22</v>
      </c>
      <c r="B180" s="1">
        <v>45545</v>
      </c>
      <c r="C180" s="7">
        <v>0</v>
      </c>
      <c r="D180" s="12"/>
      <c r="E180" s="7">
        <f t="shared" si="9"/>
        <v>0</v>
      </c>
      <c r="F180" s="10">
        <v>7.9500000000000001E-2</v>
      </c>
      <c r="G180">
        <f t="shared" ca="1" si="8"/>
        <v>-466</v>
      </c>
      <c r="H180" t="s">
        <v>14</v>
      </c>
      <c r="I180">
        <v>1000</v>
      </c>
    </row>
    <row r="181" spans="1:9" ht="16.5" thickBot="1" x14ac:dyDescent="0.35">
      <c r="A181" t="s">
        <v>22</v>
      </c>
      <c r="B181" s="1">
        <v>45726</v>
      </c>
      <c r="C181" s="8">
        <v>0</v>
      </c>
      <c r="D181" s="8">
        <v>3.98</v>
      </c>
      <c r="E181" s="7">
        <f t="shared" si="9"/>
        <v>3.98</v>
      </c>
      <c r="F181" s="10">
        <v>7.9500000000000001E-2</v>
      </c>
      <c r="G181">
        <f t="shared" ca="1" si="8"/>
        <v>-285</v>
      </c>
      <c r="H181" t="s">
        <v>14</v>
      </c>
      <c r="I181">
        <v>1000</v>
      </c>
    </row>
    <row r="182" spans="1:9" ht="16.5" thickBot="1" x14ac:dyDescent="0.35">
      <c r="A182" t="s">
        <v>22</v>
      </c>
      <c r="B182" s="1">
        <v>45910</v>
      </c>
      <c r="C182" s="8">
        <v>0</v>
      </c>
      <c r="D182" s="8">
        <v>3.98</v>
      </c>
      <c r="E182" s="7">
        <f t="shared" si="9"/>
        <v>3.98</v>
      </c>
      <c r="F182" s="10">
        <v>7.9500000000000001E-2</v>
      </c>
      <c r="G182">
        <f t="shared" ca="1" si="8"/>
        <v>-101</v>
      </c>
      <c r="H182" t="s">
        <v>14</v>
      </c>
      <c r="I182">
        <v>1000</v>
      </c>
    </row>
    <row r="183" spans="1:9" ht="16.5" thickBot="1" x14ac:dyDescent="0.35">
      <c r="A183" t="s">
        <v>22</v>
      </c>
      <c r="B183" s="1">
        <v>46091</v>
      </c>
      <c r="C183" s="8">
        <v>0</v>
      </c>
      <c r="D183" s="8">
        <v>3.98</v>
      </c>
      <c r="E183" s="7">
        <f t="shared" si="9"/>
        <v>3.98</v>
      </c>
      <c r="F183" s="10">
        <v>7.9500000000000001E-2</v>
      </c>
      <c r="G183">
        <f t="shared" ca="1" si="8"/>
        <v>80</v>
      </c>
      <c r="H183" t="s">
        <v>14</v>
      </c>
      <c r="I183">
        <v>1000</v>
      </c>
    </row>
    <row r="184" spans="1:9" ht="16.5" thickBot="1" x14ac:dyDescent="0.35">
      <c r="A184" t="s">
        <v>22</v>
      </c>
      <c r="B184" s="1">
        <v>46275</v>
      </c>
      <c r="C184" s="8">
        <v>0</v>
      </c>
      <c r="D184" s="8">
        <v>3.98</v>
      </c>
      <c r="E184" s="7">
        <f t="shared" si="9"/>
        <v>3.98</v>
      </c>
      <c r="F184" s="10">
        <v>7.9500000000000001E-2</v>
      </c>
      <c r="G184">
        <f t="shared" ca="1" si="8"/>
        <v>264</v>
      </c>
      <c r="H184" t="s">
        <v>14</v>
      </c>
      <c r="I184">
        <v>1000</v>
      </c>
    </row>
    <row r="185" spans="1:9" ht="16.5" thickBot="1" x14ac:dyDescent="0.35">
      <c r="A185" t="s">
        <v>22</v>
      </c>
      <c r="B185" s="1">
        <v>46456</v>
      </c>
      <c r="C185" s="8">
        <v>0</v>
      </c>
      <c r="D185" s="8">
        <v>3.98</v>
      </c>
      <c r="E185" s="7">
        <f t="shared" si="9"/>
        <v>3.98</v>
      </c>
      <c r="F185" s="10">
        <v>7.9500000000000001E-2</v>
      </c>
      <c r="G185">
        <f t="shared" ca="1" si="8"/>
        <v>445</v>
      </c>
      <c r="H185" t="s">
        <v>14</v>
      </c>
      <c r="I185">
        <v>1000</v>
      </c>
    </row>
    <row r="186" spans="1:9" ht="16.5" thickBot="1" x14ac:dyDescent="0.35">
      <c r="A186" t="s">
        <v>22</v>
      </c>
      <c r="B186" s="1">
        <v>46640</v>
      </c>
      <c r="C186" s="8">
        <v>0</v>
      </c>
      <c r="D186" s="8">
        <v>3.98</v>
      </c>
      <c r="E186" s="7">
        <f t="shared" si="9"/>
        <v>3.98</v>
      </c>
      <c r="F186" s="10">
        <v>7.9500000000000001E-2</v>
      </c>
      <c r="G186">
        <f t="shared" ca="1" si="8"/>
        <v>629</v>
      </c>
      <c r="H186" t="s">
        <v>14</v>
      </c>
      <c r="I186">
        <v>1000</v>
      </c>
    </row>
    <row r="187" spans="1:9" ht="16.5" thickBot="1" x14ac:dyDescent="0.35">
      <c r="A187" t="s">
        <v>22</v>
      </c>
      <c r="B187" s="1">
        <v>46822</v>
      </c>
      <c r="C187" s="8">
        <v>0</v>
      </c>
      <c r="D187" s="8">
        <v>3.98</v>
      </c>
      <c r="E187" s="7">
        <f t="shared" si="9"/>
        <v>3.98</v>
      </c>
      <c r="F187" s="10">
        <v>7.9500000000000001E-2</v>
      </c>
      <c r="G187">
        <f t="shared" ca="1" si="8"/>
        <v>811</v>
      </c>
      <c r="H187" t="s">
        <v>14</v>
      </c>
      <c r="I187">
        <v>1000</v>
      </c>
    </row>
    <row r="188" spans="1:9" ht="16.5" thickBot="1" x14ac:dyDescent="0.35">
      <c r="A188" t="s">
        <v>22</v>
      </c>
      <c r="B188" s="1">
        <v>47006</v>
      </c>
      <c r="C188" s="8">
        <v>0</v>
      </c>
      <c r="D188" s="8">
        <v>3.98</v>
      </c>
      <c r="E188" s="7">
        <f t="shared" si="9"/>
        <v>3.98</v>
      </c>
      <c r="F188" s="10">
        <v>7.9500000000000001E-2</v>
      </c>
      <c r="G188">
        <f t="shared" ca="1" si="8"/>
        <v>995</v>
      </c>
      <c r="H188" t="s">
        <v>14</v>
      </c>
      <c r="I188">
        <v>1000</v>
      </c>
    </row>
    <row r="189" spans="1:9" ht="16.5" thickBot="1" x14ac:dyDescent="0.35">
      <c r="A189" t="s">
        <v>22</v>
      </c>
      <c r="B189" s="1">
        <v>47187</v>
      </c>
      <c r="C189" s="8">
        <v>0</v>
      </c>
      <c r="D189" s="8">
        <v>3.98</v>
      </c>
      <c r="E189" s="7">
        <f t="shared" si="9"/>
        <v>3.98</v>
      </c>
      <c r="F189" s="10">
        <v>7.9500000000000001E-2</v>
      </c>
      <c r="G189">
        <f t="shared" ca="1" si="8"/>
        <v>1176</v>
      </c>
      <c r="H189" t="s">
        <v>14</v>
      </c>
      <c r="I189">
        <v>1000</v>
      </c>
    </row>
    <row r="190" spans="1:9" ht="16.5" thickBot="1" x14ac:dyDescent="0.35">
      <c r="A190" t="s">
        <v>22</v>
      </c>
      <c r="B190" s="1">
        <v>47371</v>
      </c>
      <c r="C190" s="8">
        <v>0</v>
      </c>
      <c r="D190" s="8">
        <v>3.98</v>
      </c>
      <c r="E190" s="7">
        <f t="shared" si="9"/>
        <v>3.98</v>
      </c>
      <c r="F190" s="10">
        <v>7.9500000000000001E-2</v>
      </c>
      <c r="G190">
        <f t="shared" ca="1" si="8"/>
        <v>1360</v>
      </c>
      <c r="H190" t="s">
        <v>14</v>
      </c>
      <c r="I190">
        <v>1000</v>
      </c>
    </row>
    <row r="191" spans="1:9" ht="16.5" thickBot="1" x14ac:dyDescent="0.35">
      <c r="A191" t="s">
        <v>22</v>
      </c>
      <c r="B191" s="1">
        <v>47552</v>
      </c>
      <c r="C191" s="8">
        <v>0</v>
      </c>
      <c r="D191" s="8">
        <v>3.98</v>
      </c>
      <c r="E191" s="7">
        <f t="shared" si="9"/>
        <v>3.98</v>
      </c>
      <c r="F191" s="10">
        <v>7.9500000000000001E-2</v>
      </c>
      <c r="G191">
        <f t="shared" ca="1" si="8"/>
        <v>1541</v>
      </c>
      <c r="H191" t="s">
        <v>14</v>
      </c>
      <c r="I191">
        <v>1000</v>
      </c>
    </row>
    <row r="192" spans="1:9" ht="16.5" thickBot="1" x14ac:dyDescent="0.35">
      <c r="A192" t="s">
        <v>22</v>
      </c>
      <c r="B192" s="1">
        <v>47736</v>
      </c>
      <c r="C192" s="8">
        <v>0</v>
      </c>
      <c r="D192" s="8">
        <v>3.98</v>
      </c>
      <c r="E192" s="7">
        <f t="shared" si="9"/>
        <v>3.98</v>
      </c>
      <c r="F192" s="10">
        <v>7.9500000000000001E-2</v>
      </c>
      <c r="G192">
        <f t="shared" ca="1" si="8"/>
        <v>1725</v>
      </c>
      <c r="H192" t="s">
        <v>14</v>
      </c>
      <c r="I192">
        <v>1000</v>
      </c>
    </row>
    <row r="193" spans="1:9" ht="16.5" thickBot="1" x14ac:dyDescent="0.35">
      <c r="A193" t="s">
        <v>22</v>
      </c>
      <c r="B193" s="1">
        <v>47917</v>
      </c>
      <c r="C193" s="8">
        <v>0</v>
      </c>
      <c r="D193" s="8">
        <v>3.98</v>
      </c>
      <c r="E193" s="7">
        <f t="shared" si="9"/>
        <v>3.98</v>
      </c>
      <c r="F193" s="10">
        <v>7.9500000000000001E-2</v>
      </c>
      <c r="G193">
        <f t="shared" ca="1" si="8"/>
        <v>1906</v>
      </c>
      <c r="H193" t="s">
        <v>14</v>
      </c>
      <c r="I193">
        <v>1000</v>
      </c>
    </row>
    <row r="194" spans="1:9" ht="16.5" thickBot="1" x14ac:dyDescent="0.35">
      <c r="A194" t="s">
        <v>22</v>
      </c>
      <c r="B194" s="15">
        <v>48101</v>
      </c>
      <c r="C194" s="8">
        <v>100</v>
      </c>
      <c r="D194" s="8">
        <v>3.98</v>
      </c>
      <c r="E194" s="7">
        <f t="shared" si="9"/>
        <v>103.98</v>
      </c>
      <c r="F194" s="10">
        <v>7.9500000000000001E-2</v>
      </c>
      <c r="G194">
        <f t="shared" ca="1" si="8"/>
        <v>2090</v>
      </c>
      <c r="H194" t="s">
        <v>14</v>
      </c>
      <c r="I194">
        <v>1000</v>
      </c>
    </row>
    <row r="195" spans="1:9" ht="16.5" thickBot="1" x14ac:dyDescent="0.35">
      <c r="A195" t="s">
        <v>23</v>
      </c>
      <c r="B195" s="1">
        <v>45807</v>
      </c>
      <c r="C195" s="7">
        <v>0</v>
      </c>
      <c r="D195" s="12"/>
      <c r="E195" s="7">
        <f t="shared" si="9"/>
        <v>0</v>
      </c>
      <c r="F195" s="10">
        <v>8.5000000000000006E-2</v>
      </c>
      <c r="G195">
        <f t="shared" ca="1" si="8"/>
        <v>-204</v>
      </c>
      <c r="H195" t="s">
        <v>14</v>
      </c>
      <c r="I195">
        <v>1000</v>
      </c>
    </row>
    <row r="196" spans="1:9" ht="16.5" thickBot="1" x14ac:dyDescent="0.35">
      <c r="A196" t="s">
        <v>23</v>
      </c>
      <c r="B196" s="1">
        <v>45991</v>
      </c>
      <c r="C196" s="8">
        <v>0</v>
      </c>
      <c r="D196" s="8">
        <v>4.25</v>
      </c>
      <c r="E196" s="7">
        <f t="shared" si="9"/>
        <v>4.25</v>
      </c>
      <c r="F196" s="10">
        <v>8.5000000000000006E-2</v>
      </c>
      <c r="G196">
        <f t="shared" ca="1" si="8"/>
        <v>-20</v>
      </c>
      <c r="H196" t="s">
        <v>14</v>
      </c>
      <c r="I196">
        <v>1000</v>
      </c>
    </row>
    <row r="197" spans="1:9" ht="16.5" thickBot="1" x14ac:dyDescent="0.35">
      <c r="A197" t="s">
        <v>23</v>
      </c>
      <c r="B197" s="1">
        <v>46172</v>
      </c>
      <c r="C197" s="8">
        <v>0</v>
      </c>
      <c r="D197" s="8">
        <v>4.25</v>
      </c>
      <c r="E197" s="7">
        <f t="shared" si="9"/>
        <v>4.25</v>
      </c>
      <c r="F197" s="10">
        <v>8.5000000000000006E-2</v>
      </c>
      <c r="G197">
        <f t="shared" ca="1" si="8"/>
        <v>161</v>
      </c>
      <c r="H197" t="s">
        <v>14</v>
      </c>
      <c r="I197">
        <v>1000</v>
      </c>
    </row>
    <row r="198" spans="1:9" ht="16.5" thickBot="1" x14ac:dyDescent="0.35">
      <c r="A198" t="s">
        <v>23</v>
      </c>
      <c r="B198" s="1">
        <v>46356</v>
      </c>
      <c r="C198" s="8">
        <v>0</v>
      </c>
      <c r="D198" s="8">
        <v>4.25</v>
      </c>
      <c r="E198" s="7">
        <f t="shared" si="9"/>
        <v>4.25</v>
      </c>
      <c r="F198" s="10">
        <v>8.5000000000000006E-2</v>
      </c>
      <c r="G198">
        <f t="shared" ca="1" si="8"/>
        <v>345</v>
      </c>
      <c r="H198" t="s">
        <v>14</v>
      </c>
      <c r="I198">
        <v>1000</v>
      </c>
    </row>
    <row r="199" spans="1:9" ht="16.5" thickBot="1" x14ac:dyDescent="0.35">
      <c r="A199" t="s">
        <v>23</v>
      </c>
      <c r="B199" s="1">
        <v>46537</v>
      </c>
      <c r="C199" s="8">
        <v>0</v>
      </c>
      <c r="D199" s="8">
        <v>4.25</v>
      </c>
      <c r="E199" s="7">
        <f t="shared" si="9"/>
        <v>4.25</v>
      </c>
      <c r="F199" s="10">
        <v>8.5000000000000006E-2</v>
      </c>
      <c r="G199">
        <f t="shared" ca="1" si="8"/>
        <v>526</v>
      </c>
      <c r="H199" t="s">
        <v>14</v>
      </c>
      <c r="I199">
        <v>1000</v>
      </c>
    </row>
    <row r="200" spans="1:9" ht="16.5" thickBot="1" x14ac:dyDescent="0.35">
      <c r="A200" t="s">
        <v>23</v>
      </c>
      <c r="B200" s="1">
        <v>46721</v>
      </c>
      <c r="C200" s="8">
        <v>0</v>
      </c>
      <c r="D200" s="8">
        <v>4.25</v>
      </c>
      <c r="E200" s="7">
        <f t="shared" si="9"/>
        <v>4.25</v>
      </c>
      <c r="F200" s="10">
        <v>8.5000000000000006E-2</v>
      </c>
      <c r="G200">
        <f t="shared" ca="1" si="8"/>
        <v>710</v>
      </c>
      <c r="H200" t="s">
        <v>14</v>
      </c>
      <c r="I200">
        <v>1000</v>
      </c>
    </row>
    <row r="201" spans="1:9" ht="16.5" thickBot="1" x14ac:dyDescent="0.35">
      <c r="A201" t="s">
        <v>23</v>
      </c>
      <c r="B201" s="1">
        <v>46903</v>
      </c>
      <c r="C201" s="8">
        <v>0</v>
      </c>
      <c r="D201" s="8">
        <v>4.25</v>
      </c>
      <c r="E201" s="7">
        <f t="shared" si="9"/>
        <v>4.25</v>
      </c>
      <c r="F201" s="10">
        <v>8.5000000000000006E-2</v>
      </c>
      <c r="G201">
        <f t="shared" ca="1" si="8"/>
        <v>892</v>
      </c>
      <c r="H201" t="s">
        <v>14</v>
      </c>
      <c r="I201">
        <v>1000</v>
      </c>
    </row>
    <row r="202" spans="1:9" ht="16.5" thickBot="1" x14ac:dyDescent="0.35">
      <c r="A202" t="s">
        <v>23</v>
      </c>
      <c r="B202" s="1">
        <v>47087</v>
      </c>
      <c r="C202" s="8">
        <v>0</v>
      </c>
      <c r="D202" s="8">
        <v>4.25</v>
      </c>
      <c r="E202" s="7">
        <f t="shared" si="9"/>
        <v>4.25</v>
      </c>
      <c r="F202" s="10">
        <v>8.5000000000000006E-2</v>
      </c>
      <c r="G202">
        <f t="shared" ca="1" si="8"/>
        <v>1076</v>
      </c>
      <c r="H202" t="s">
        <v>14</v>
      </c>
      <c r="I202">
        <v>1000</v>
      </c>
    </row>
    <row r="203" spans="1:9" ht="16.5" thickBot="1" x14ac:dyDescent="0.35">
      <c r="A203" t="s">
        <v>23</v>
      </c>
      <c r="B203" s="1">
        <v>47268</v>
      </c>
      <c r="C203" s="8">
        <v>0</v>
      </c>
      <c r="D203" s="8">
        <v>4.25</v>
      </c>
      <c r="E203" s="7">
        <f t="shared" si="9"/>
        <v>4.25</v>
      </c>
      <c r="F203" s="10">
        <v>8.5000000000000006E-2</v>
      </c>
      <c r="G203">
        <f t="shared" ca="1" si="8"/>
        <v>1257</v>
      </c>
      <c r="H203" t="s">
        <v>14</v>
      </c>
      <c r="I203">
        <v>1000</v>
      </c>
    </row>
    <row r="204" spans="1:9" ht="16.5" thickBot="1" x14ac:dyDescent="0.35">
      <c r="A204" t="s">
        <v>23</v>
      </c>
      <c r="B204" s="1">
        <v>47452</v>
      </c>
      <c r="C204" s="8">
        <v>0</v>
      </c>
      <c r="D204" s="8">
        <v>4.25</v>
      </c>
      <c r="E204" s="7">
        <f t="shared" si="9"/>
        <v>4.25</v>
      </c>
      <c r="F204" s="10">
        <v>8.5000000000000006E-2</v>
      </c>
      <c r="G204">
        <f t="shared" ca="1" si="8"/>
        <v>1441</v>
      </c>
      <c r="H204" t="s">
        <v>14</v>
      </c>
      <c r="I204">
        <v>1000</v>
      </c>
    </row>
    <row r="205" spans="1:9" ht="16.5" thickBot="1" x14ac:dyDescent="0.35">
      <c r="A205" t="s">
        <v>23</v>
      </c>
      <c r="B205" s="1">
        <v>47633</v>
      </c>
      <c r="C205" s="8">
        <v>33</v>
      </c>
      <c r="D205" s="8">
        <v>4.25</v>
      </c>
      <c r="E205" s="7">
        <f t="shared" si="9"/>
        <v>37.25</v>
      </c>
      <c r="F205" s="10">
        <v>8.5000000000000006E-2</v>
      </c>
      <c r="G205">
        <f t="shared" ca="1" si="8"/>
        <v>1622</v>
      </c>
      <c r="H205" t="s">
        <v>14</v>
      </c>
      <c r="I205">
        <v>1000</v>
      </c>
    </row>
    <row r="206" spans="1:9" ht="16.5" thickBot="1" x14ac:dyDescent="0.35">
      <c r="A206" t="s">
        <v>23</v>
      </c>
      <c r="B206" s="1">
        <v>47817</v>
      </c>
      <c r="C206" s="8">
        <v>0</v>
      </c>
      <c r="D206" s="8">
        <v>2.85</v>
      </c>
      <c r="E206" s="7">
        <f t="shared" si="9"/>
        <v>2.85</v>
      </c>
      <c r="F206" s="10">
        <v>8.5000000000000006E-2</v>
      </c>
      <c r="G206">
        <f t="shared" ca="1" si="8"/>
        <v>1806</v>
      </c>
      <c r="H206" t="s">
        <v>14</v>
      </c>
      <c r="I206">
        <v>1000</v>
      </c>
    </row>
    <row r="207" spans="1:9" ht="16.5" thickBot="1" x14ac:dyDescent="0.35">
      <c r="A207" t="s">
        <v>23</v>
      </c>
      <c r="B207" s="1">
        <v>47998</v>
      </c>
      <c r="C207" s="8">
        <v>33</v>
      </c>
      <c r="D207" s="8">
        <v>2.85</v>
      </c>
      <c r="E207" s="7">
        <f t="shared" si="9"/>
        <v>35.85</v>
      </c>
      <c r="F207" s="10">
        <v>8.5000000000000006E-2</v>
      </c>
      <c r="G207">
        <f t="shared" ca="1" si="8"/>
        <v>1987</v>
      </c>
      <c r="H207" t="s">
        <v>14</v>
      </c>
      <c r="I207">
        <v>1000</v>
      </c>
    </row>
    <row r="208" spans="1:9" ht="16.5" thickBot="1" x14ac:dyDescent="0.35">
      <c r="A208" t="s">
        <v>23</v>
      </c>
      <c r="B208" s="1">
        <v>48182</v>
      </c>
      <c r="C208" s="8">
        <v>0</v>
      </c>
      <c r="D208" s="8">
        <v>1.45</v>
      </c>
      <c r="E208" s="7">
        <f t="shared" si="9"/>
        <v>1.45</v>
      </c>
      <c r="F208" s="10">
        <v>8.5000000000000006E-2</v>
      </c>
      <c r="G208">
        <f t="shared" ca="1" si="8"/>
        <v>2171</v>
      </c>
      <c r="H208" t="s">
        <v>14</v>
      </c>
      <c r="I208">
        <v>1000</v>
      </c>
    </row>
    <row r="209" spans="1:9" ht="16.5" thickBot="1" x14ac:dyDescent="0.35">
      <c r="A209" t="s">
        <v>23</v>
      </c>
      <c r="B209" s="1">
        <v>48364</v>
      </c>
      <c r="C209" s="8">
        <v>34</v>
      </c>
      <c r="D209" s="9">
        <v>1.45</v>
      </c>
      <c r="E209" s="7">
        <f t="shared" si="9"/>
        <v>35.450000000000003</v>
      </c>
      <c r="F209" s="10">
        <v>8.5000000000000006E-2</v>
      </c>
      <c r="G209">
        <f t="shared" ca="1" si="8"/>
        <v>2353</v>
      </c>
      <c r="H209" t="s">
        <v>14</v>
      </c>
      <c r="I209">
        <v>1000</v>
      </c>
    </row>
    <row r="210" spans="1:9" ht="17.25" thickTop="1" thickBot="1" x14ac:dyDescent="0.35">
      <c r="A210" t="s">
        <v>24</v>
      </c>
      <c r="B210" s="1">
        <v>44239</v>
      </c>
      <c r="C210" s="12"/>
      <c r="D210" s="12"/>
      <c r="E210" s="7">
        <f t="shared" si="9"/>
        <v>0</v>
      </c>
      <c r="F210" s="10">
        <v>7.0000000000000007E-2</v>
      </c>
      <c r="G210">
        <f t="shared" ca="1" si="8"/>
        <v>-1772</v>
      </c>
      <c r="H210" t="s">
        <v>14</v>
      </c>
      <c r="I210">
        <v>1</v>
      </c>
    </row>
    <row r="211" spans="1:9" ht="16.5" thickBot="1" x14ac:dyDescent="0.35">
      <c r="A211" t="s">
        <v>24</v>
      </c>
      <c r="B211" s="1">
        <v>44469</v>
      </c>
      <c r="C211" s="17"/>
      <c r="D211" s="8">
        <v>0.95</v>
      </c>
      <c r="E211" s="7">
        <f t="shared" si="9"/>
        <v>0.95</v>
      </c>
      <c r="F211" s="10">
        <v>7.0000000000000007E-2</v>
      </c>
      <c r="G211">
        <f t="shared" ca="1" si="8"/>
        <v>-1542</v>
      </c>
      <c r="H211" t="s">
        <v>14</v>
      </c>
      <c r="I211">
        <v>1</v>
      </c>
    </row>
    <row r="212" spans="1:9" ht="16.5" thickBot="1" x14ac:dyDescent="0.35">
      <c r="A212" t="s">
        <v>24</v>
      </c>
      <c r="B212" s="1">
        <v>44650</v>
      </c>
      <c r="C212" s="17"/>
      <c r="D212" s="8">
        <v>0.75</v>
      </c>
      <c r="E212" s="7">
        <f t="shared" si="9"/>
        <v>0.75</v>
      </c>
      <c r="F212" s="10">
        <v>7.0000000000000007E-2</v>
      </c>
      <c r="G212">
        <f t="shared" ca="1" si="8"/>
        <v>-1361</v>
      </c>
      <c r="H212" t="s">
        <v>14</v>
      </c>
      <c r="I212">
        <v>1</v>
      </c>
    </row>
    <row r="213" spans="1:9" ht="16.5" thickBot="1" x14ac:dyDescent="0.35">
      <c r="A213" t="s">
        <v>24</v>
      </c>
      <c r="B213" s="1">
        <v>44834</v>
      </c>
      <c r="C213" s="17"/>
      <c r="D213" s="8">
        <v>0.75</v>
      </c>
      <c r="E213" s="7">
        <f t="shared" si="9"/>
        <v>0.75</v>
      </c>
      <c r="F213" s="10">
        <v>7.0000000000000007E-2</v>
      </c>
      <c r="G213">
        <f t="shared" ca="1" si="8"/>
        <v>-1177</v>
      </c>
      <c r="H213" t="s">
        <v>14</v>
      </c>
      <c r="I213">
        <v>1</v>
      </c>
    </row>
    <row r="214" spans="1:9" ht="16.5" thickBot="1" x14ac:dyDescent="0.35">
      <c r="A214" t="s">
        <v>24</v>
      </c>
      <c r="B214" s="1">
        <v>45015</v>
      </c>
      <c r="C214" s="17"/>
      <c r="D214" s="8">
        <v>3.5</v>
      </c>
      <c r="E214" s="7">
        <f t="shared" si="9"/>
        <v>3.5</v>
      </c>
      <c r="F214" s="10">
        <v>7.0000000000000007E-2</v>
      </c>
      <c r="G214">
        <f t="shared" ca="1" si="8"/>
        <v>-996</v>
      </c>
      <c r="H214" t="s">
        <v>14</v>
      </c>
      <c r="I214">
        <v>1</v>
      </c>
    </row>
    <row r="215" spans="1:9" ht="16.5" thickBot="1" x14ac:dyDescent="0.35">
      <c r="A215" t="s">
        <v>24</v>
      </c>
      <c r="B215" s="1">
        <v>45199</v>
      </c>
      <c r="C215" s="17"/>
      <c r="D215" s="8">
        <v>3.5</v>
      </c>
      <c r="E215" s="7">
        <f t="shared" si="9"/>
        <v>3.5</v>
      </c>
      <c r="F215" s="10">
        <v>7.0000000000000007E-2</v>
      </c>
      <c r="G215">
        <f t="shared" ca="1" si="8"/>
        <v>-812</v>
      </c>
      <c r="H215" t="s">
        <v>14</v>
      </c>
      <c r="I215">
        <v>1</v>
      </c>
    </row>
    <row r="216" spans="1:9" ht="16.5" thickBot="1" x14ac:dyDescent="0.35">
      <c r="A216" t="s">
        <v>24</v>
      </c>
      <c r="B216" s="1">
        <v>45381</v>
      </c>
      <c r="C216" s="17"/>
      <c r="D216" s="8">
        <v>3.5</v>
      </c>
      <c r="E216" s="7">
        <f t="shared" si="9"/>
        <v>3.5</v>
      </c>
      <c r="F216" s="10">
        <v>7.0000000000000007E-2</v>
      </c>
      <c r="G216">
        <f t="shared" ca="1" si="8"/>
        <v>-630</v>
      </c>
      <c r="H216" t="s">
        <v>14</v>
      </c>
      <c r="I216">
        <v>1</v>
      </c>
    </row>
    <row r="217" spans="1:9" ht="16.5" thickBot="1" x14ac:dyDescent="0.35">
      <c r="A217" t="s">
        <v>24</v>
      </c>
      <c r="B217" s="1">
        <v>45565</v>
      </c>
      <c r="C217" s="17"/>
      <c r="D217" s="8">
        <v>3.5</v>
      </c>
      <c r="E217" s="7">
        <f t="shared" si="9"/>
        <v>3.5</v>
      </c>
      <c r="F217" s="10">
        <v>7.0000000000000007E-2</v>
      </c>
      <c r="G217">
        <f t="shared" ca="1" si="8"/>
        <v>-446</v>
      </c>
      <c r="H217" t="s">
        <v>14</v>
      </c>
      <c r="I217">
        <v>1</v>
      </c>
    </row>
    <row r="218" spans="1:9" ht="16.5" thickBot="1" x14ac:dyDescent="0.35">
      <c r="A218" t="s">
        <v>24</v>
      </c>
      <c r="B218" s="1">
        <v>45746</v>
      </c>
      <c r="C218" s="17"/>
      <c r="D218" s="8">
        <v>3.5</v>
      </c>
      <c r="E218" s="7">
        <f t="shared" si="9"/>
        <v>3.5</v>
      </c>
      <c r="F218" s="10">
        <v>7.0000000000000007E-2</v>
      </c>
      <c r="G218">
        <f t="shared" ca="1" si="8"/>
        <v>-265</v>
      </c>
      <c r="H218" t="s">
        <v>14</v>
      </c>
      <c r="I218">
        <v>1</v>
      </c>
    </row>
    <row r="219" spans="1:9" ht="16.5" thickBot="1" x14ac:dyDescent="0.35">
      <c r="A219" t="s">
        <v>24</v>
      </c>
      <c r="B219" s="1">
        <v>45930</v>
      </c>
      <c r="C219" s="17"/>
      <c r="D219" s="8">
        <v>3.5</v>
      </c>
      <c r="E219" s="7">
        <f t="shared" si="9"/>
        <v>3.5</v>
      </c>
      <c r="F219" s="10">
        <v>7.0000000000000007E-2</v>
      </c>
      <c r="G219">
        <f t="shared" ca="1" si="8"/>
        <v>-81</v>
      </c>
      <c r="H219" t="s">
        <v>14</v>
      </c>
      <c r="I219">
        <v>1</v>
      </c>
    </row>
    <row r="220" spans="1:9" ht="16.5" thickBot="1" x14ac:dyDescent="0.35">
      <c r="A220" t="s">
        <v>24</v>
      </c>
      <c r="B220" s="1">
        <v>46111</v>
      </c>
      <c r="C220" s="17"/>
      <c r="D220" s="8">
        <v>3.5</v>
      </c>
      <c r="E220" s="7">
        <f t="shared" si="9"/>
        <v>3.5</v>
      </c>
      <c r="F220" s="10">
        <v>7.0000000000000007E-2</v>
      </c>
      <c r="G220">
        <f t="shared" ca="1" si="8"/>
        <v>100</v>
      </c>
      <c r="H220" t="s">
        <v>14</v>
      </c>
      <c r="I220">
        <v>1</v>
      </c>
    </row>
    <row r="221" spans="1:9" ht="16.5" thickBot="1" x14ac:dyDescent="0.35">
      <c r="A221" t="s">
        <v>24</v>
      </c>
      <c r="B221" s="1">
        <v>46295</v>
      </c>
      <c r="C221" s="17"/>
      <c r="D221" s="8">
        <v>3.5</v>
      </c>
      <c r="E221" s="7">
        <f t="shared" si="9"/>
        <v>3.5</v>
      </c>
      <c r="F221" s="10">
        <v>7.0000000000000007E-2</v>
      </c>
      <c r="G221">
        <f t="shared" ca="1" si="8"/>
        <v>284</v>
      </c>
      <c r="H221" t="s">
        <v>14</v>
      </c>
      <c r="I221">
        <v>1</v>
      </c>
    </row>
    <row r="222" spans="1:9" ht="16.5" thickBot="1" x14ac:dyDescent="0.35">
      <c r="A222" t="s">
        <v>24</v>
      </c>
      <c r="B222" s="1">
        <v>46476</v>
      </c>
      <c r="C222" s="17"/>
      <c r="D222" s="8">
        <v>3.5</v>
      </c>
      <c r="E222" s="7">
        <f t="shared" si="9"/>
        <v>3.5</v>
      </c>
      <c r="F222" s="10">
        <v>7.0000000000000007E-2</v>
      </c>
      <c r="G222">
        <f t="shared" ca="1" si="8"/>
        <v>465</v>
      </c>
      <c r="H222" t="s">
        <v>14</v>
      </c>
      <c r="I222">
        <v>1</v>
      </c>
    </row>
    <row r="223" spans="1:9" ht="16.5" thickBot="1" x14ac:dyDescent="0.35">
      <c r="A223" t="s">
        <v>24</v>
      </c>
      <c r="B223" s="1">
        <v>46660</v>
      </c>
      <c r="C223" s="17"/>
      <c r="D223" s="8">
        <v>3.5</v>
      </c>
      <c r="E223" s="7">
        <f t="shared" si="9"/>
        <v>3.5</v>
      </c>
      <c r="F223" s="10">
        <v>7.0000000000000007E-2</v>
      </c>
      <c r="G223">
        <f t="shared" ca="1" si="8"/>
        <v>649</v>
      </c>
      <c r="H223" t="s">
        <v>14</v>
      </c>
      <c r="I223">
        <v>1</v>
      </c>
    </row>
    <row r="224" spans="1:9" ht="16.5" thickBot="1" x14ac:dyDescent="0.35">
      <c r="A224" t="s">
        <v>24</v>
      </c>
      <c r="B224" s="1">
        <v>46842</v>
      </c>
      <c r="C224" s="17"/>
      <c r="D224" s="8">
        <v>3.5</v>
      </c>
      <c r="E224" s="7">
        <f t="shared" si="9"/>
        <v>3.5</v>
      </c>
      <c r="F224" s="10">
        <v>7.0000000000000007E-2</v>
      </c>
      <c r="G224">
        <f t="shared" ca="1" si="8"/>
        <v>831</v>
      </c>
      <c r="H224" t="s">
        <v>14</v>
      </c>
      <c r="I224">
        <v>1</v>
      </c>
    </row>
    <row r="225" spans="1:9" ht="16.5" thickBot="1" x14ac:dyDescent="0.35">
      <c r="A225" t="s">
        <v>24</v>
      </c>
      <c r="B225" s="1">
        <v>47026</v>
      </c>
      <c r="C225" s="17"/>
      <c r="D225" s="8">
        <v>3.5</v>
      </c>
      <c r="E225" s="7">
        <f t="shared" si="9"/>
        <v>3.5</v>
      </c>
      <c r="F225" s="10">
        <v>7.0000000000000007E-2</v>
      </c>
      <c r="G225">
        <f t="shared" ca="1" si="8"/>
        <v>1015</v>
      </c>
      <c r="H225" t="s">
        <v>14</v>
      </c>
      <c r="I225">
        <v>1</v>
      </c>
    </row>
    <row r="226" spans="1:9" ht="16.5" thickBot="1" x14ac:dyDescent="0.35">
      <c r="A226" t="s">
        <v>24</v>
      </c>
      <c r="B226" s="1">
        <v>47207</v>
      </c>
      <c r="C226" s="17"/>
      <c r="D226" s="8">
        <v>3.5</v>
      </c>
      <c r="E226" s="7">
        <f t="shared" si="9"/>
        <v>3.5</v>
      </c>
      <c r="F226" s="10">
        <v>7.0000000000000007E-2</v>
      </c>
      <c r="G226">
        <f t="shared" ca="1" si="8"/>
        <v>1196</v>
      </c>
      <c r="H226" t="s">
        <v>14</v>
      </c>
      <c r="I226">
        <v>1</v>
      </c>
    </row>
    <row r="227" spans="1:9" ht="16.5" thickBot="1" x14ac:dyDescent="0.35">
      <c r="A227" t="s">
        <v>24</v>
      </c>
      <c r="B227" s="1">
        <v>47391</v>
      </c>
      <c r="C227" s="17"/>
      <c r="D227" s="8">
        <v>3.5</v>
      </c>
      <c r="E227" s="7">
        <f t="shared" si="9"/>
        <v>3.5</v>
      </c>
      <c r="F227" s="10">
        <v>7.0000000000000007E-2</v>
      </c>
      <c r="G227">
        <f t="shared" ca="1" si="8"/>
        <v>1380</v>
      </c>
      <c r="H227" t="s">
        <v>14</v>
      </c>
      <c r="I227">
        <v>1</v>
      </c>
    </row>
    <row r="228" spans="1:9" ht="16.5" thickBot="1" x14ac:dyDescent="0.35">
      <c r="A228" t="s">
        <v>24</v>
      </c>
      <c r="B228" s="1">
        <v>47572</v>
      </c>
      <c r="C228" s="17"/>
      <c r="D228" s="8">
        <v>3.5</v>
      </c>
      <c r="E228" s="7">
        <f t="shared" si="9"/>
        <v>3.5</v>
      </c>
      <c r="F228" s="10">
        <v>7.0000000000000007E-2</v>
      </c>
      <c r="G228">
        <f t="shared" ca="1" si="8"/>
        <v>1561</v>
      </c>
      <c r="H228" t="s">
        <v>14</v>
      </c>
      <c r="I228">
        <v>1</v>
      </c>
    </row>
    <row r="229" spans="1:9" ht="16.5" thickBot="1" x14ac:dyDescent="0.35">
      <c r="A229" t="s">
        <v>24</v>
      </c>
      <c r="B229" s="1">
        <v>47756</v>
      </c>
      <c r="C229" s="8">
        <v>25</v>
      </c>
      <c r="D229" s="8">
        <v>3.5</v>
      </c>
      <c r="E229" s="7">
        <f t="shared" si="9"/>
        <v>28.5</v>
      </c>
      <c r="F229" s="10">
        <v>7.0000000000000007E-2</v>
      </c>
      <c r="G229">
        <f t="shared" ca="1" si="8"/>
        <v>1745</v>
      </c>
      <c r="H229" t="s">
        <v>14</v>
      </c>
      <c r="I229">
        <v>1</v>
      </c>
    </row>
    <row r="230" spans="1:9" ht="16.5" thickBot="1" x14ac:dyDescent="0.35">
      <c r="A230" t="s">
        <v>24</v>
      </c>
      <c r="B230" s="1">
        <v>47937</v>
      </c>
      <c r="C230" s="17"/>
      <c r="D230" s="8">
        <v>2.63</v>
      </c>
      <c r="E230" s="7">
        <f t="shared" si="9"/>
        <v>2.63</v>
      </c>
      <c r="F230" s="10">
        <v>7.0000000000000007E-2</v>
      </c>
      <c r="G230">
        <f t="shared" ca="1" si="8"/>
        <v>1926</v>
      </c>
      <c r="H230" t="s">
        <v>14</v>
      </c>
      <c r="I230">
        <v>1</v>
      </c>
    </row>
    <row r="231" spans="1:9" ht="16.5" thickBot="1" x14ac:dyDescent="0.35">
      <c r="A231" t="s">
        <v>24</v>
      </c>
      <c r="B231" s="1">
        <v>48121</v>
      </c>
      <c r="C231" s="8">
        <v>25</v>
      </c>
      <c r="D231" s="8">
        <v>2.63</v>
      </c>
      <c r="E231" s="7">
        <f t="shared" si="9"/>
        <v>27.63</v>
      </c>
      <c r="F231" s="10">
        <v>7.0000000000000007E-2</v>
      </c>
      <c r="G231">
        <f t="shared" ca="1" si="8"/>
        <v>2110</v>
      </c>
      <c r="H231" t="s">
        <v>14</v>
      </c>
      <c r="I231">
        <v>1</v>
      </c>
    </row>
    <row r="232" spans="1:9" ht="16.5" thickBot="1" x14ac:dyDescent="0.35">
      <c r="A232" t="s">
        <v>24</v>
      </c>
      <c r="B232" s="1">
        <v>48303</v>
      </c>
      <c r="C232" s="17"/>
      <c r="D232" s="8">
        <v>1.75</v>
      </c>
      <c r="E232" s="7">
        <f t="shared" si="9"/>
        <v>1.75</v>
      </c>
      <c r="F232" s="10">
        <v>7.0000000000000007E-2</v>
      </c>
      <c r="G232">
        <f t="shared" ca="1" si="8"/>
        <v>2292</v>
      </c>
      <c r="H232" t="s">
        <v>14</v>
      </c>
      <c r="I232">
        <v>1</v>
      </c>
    </row>
    <row r="233" spans="1:9" ht="16.5" thickBot="1" x14ac:dyDescent="0.35">
      <c r="A233" t="s">
        <v>24</v>
      </c>
      <c r="B233" s="1">
        <v>48487</v>
      </c>
      <c r="C233" s="8">
        <v>25</v>
      </c>
      <c r="D233" s="8">
        <v>1.75</v>
      </c>
      <c r="E233" s="7">
        <f t="shared" si="9"/>
        <v>26.75</v>
      </c>
      <c r="F233" s="10">
        <v>7.0000000000000007E-2</v>
      </c>
      <c r="G233">
        <f t="shared" ca="1" si="8"/>
        <v>2476</v>
      </c>
      <c r="H233" t="s">
        <v>14</v>
      </c>
      <c r="I233">
        <v>1</v>
      </c>
    </row>
    <row r="234" spans="1:9" ht="16.5" thickBot="1" x14ac:dyDescent="0.35">
      <c r="A234" t="s">
        <v>24</v>
      </c>
      <c r="B234" s="1">
        <v>48668</v>
      </c>
      <c r="C234" s="17"/>
      <c r="D234" s="8">
        <v>0.88</v>
      </c>
      <c r="E234" s="7">
        <f t="shared" si="9"/>
        <v>0.88</v>
      </c>
      <c r="F234" s="10">
        <v>7.0000000000000007E-2</v>
      </c>
      <c r="G234">
        <f t="shared" ref="G234:G235" ca="1" si="10">B234-$Q$1</f>
        <v>2657</v>
      </c>
      <c r="H234" t="s">
        <v>14</v>
      </c>
      <c r="I234">
        <v>1</v>
      </c>
    </row>
    <row r="235" spans="1:9" ht="15.75" x14ac:dyDescent="0.3">
      <c r="A235" t="s">
        <v>24</v>
      </c>
      <c r="B235" s="1">
        <v>48852</v>
      </c>
      <c r="C235" s="8">
        <v>25</v>
      </c>
      <c r="D235" s="8">
        <v>0.88</v>
      </c>
      <c r="E235" s="7">
        <f t="shared" ref="E235" si="11">C235+D235</f>
        <v>25.88</v>
      </c>
      <c r="F235" s="10">
        <v>7.0000000000000007E-2</v>
      </c>
      <c r="G235">
        <f t="shared" ca="1" si="10"/>
        <v>2841</v>
      </c>
      <c r="H235" t="s">
        <v>14</v>
      </c>
      <c r="I2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Zivkovich</dc:creator>
  <cp:lastModifiedBy>Daniel Zivkovich</cp:lastModifiedBy>
  <dcterms:created xsi:type="dcterms:W3CDTF">2025-12-12T23:02:58Z</dcterms:created>
  <dcterms:modified xsi:type="dcterms:W3CDTF">2025-12-20T23:11:20Z</dcterms:modified>
</cp:coreProperties>
</file>